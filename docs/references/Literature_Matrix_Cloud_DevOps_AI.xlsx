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terature Matrix" sheetId="1" state="visible" r:id="rId3"/>
    <sheet name="Gap Analysis" sheetId="2" state="visible" r:id="rId4"/>
    <sheet name="Theme Summary" sheetId="3" state="visible" r:id="rId5"/>
    <sheet name="Search Protocol" sheetId="4" state="visible" r:id="rId6"/>
  </sheets>
  <definedNames>
    <definedName function="false" hidden="true" localSheetId="0" name="_xlnm._FilterDatabase" vbProcedure="false">'Literature Matrix'!$A$1:$P$38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<sst xmlns="http://schemas.openxmlformats.org/spreadsheetml/2006/main" count="687" uniqueCount="468">
  <si>
    <t xml:space="preserve">ID</t>
  </si>
  <si>
    <t xml:space="preserve">Theme</t>
  </si>
  <si>
    <t xml:space="preserve">Paper</t>
  </si>
  <si>
    <t xml:space="preserve">Authors</t>
  </si>
  <si>
    <t xml:space="preserve">Year</t>
  </si>
  <si>
    <t xml:space="preserve">Venue</t>
  </si>
  <si>
    <t xml:space="preserve">Status</t>
  </si>
  <si>
    <t xml:space="preserve">Problem addressed</t>
  </si>
  <si>
    <t xml:space="preserve">Method / approach</t>
  </si>
  <si>
    <t xml:space="preserve">Data / testbed</t>
  </si>
  <si>
    <t xml:space="preserve">Key result</t>
  </si>
  <si>
    <t xml:space="preserve">How success is judged</t>
  </si>
  <si>
    <t xml:space="preserve">Deploys to real infra?</t>
  </si>
  <si>
    <t xml:space="preserve">Limitation / gap</t>
  </si>
  <si>
    <t xml:space="preserve">Gap source</t>
  </si>
  <si>
    <t xml:space="preserve">Link</t>
  </si>
  <si>
    <t xml:space="preserve">A1</t>
  </si>
  <si>
    <t xml:space="preserve">A. LLM generation of IaC / cloud config</t>
  </si>
  <si>
    <t xml:space="preserve">Automated Code Generation for IT Tasks in YAML through Large Language Models (Ansible Wisdom)</t>
  </si>
  <si>
    <t xml:space="preserve">Pujar et al.</t>
  </si>
  <si>
    <t xml:space="preserve">2023</t>
  </si>
  <si>
    <t xml:space="preserve">arXiv 2305.02783</t>
  </si>
  <si>
    <t xml:space="preserve">Preprint</t>
  </si>
  <si>
    <t xml:space="preserve">LLM code generation ignores IT-automation DSLs such as Ansible-YAML.</t>
  </si>
  <si>
    <t xml:space="preserve">Transformer pre-trained/fine-tuned on Ansible and YAML; NL-to-Ansible reframed as code completion; two Ansible-specific metrics.</t>
  </si>
  <si>
    <t xml:space="preserve">~1.1M Ansible tasks/playbooks + ~2.2M generic YAML files; Ansible Galaxy for fine-tuning.</t>
  </si>
  <si>
    <t xml:space="preserve">Wisdom models beat CodeGen and Codex-Davinci-002 in few-shot settings (best BLEU 46.58).</t>
  </si>
  <si>
    <t xml:space="preserve">Text similarity: BLEU, exact match, schema and Ansible-aware scores.</t>
  </si>
  <si>
    <t xml:space="preserve">No</t>
  </si>
  <si>
    <t xml:space="preserve">Only text-similarity metrics; generated playbooks are never executed or security-checked.</t>
  </si>
  <si>
    <t xml:space="preserve">Our observation</t>
  </si>
  <si>
    <t xml:space="preserve">Open</t>
  </si>
  <si>
    <t xml:space="preserve">A2</t>
  </si>
  <si>
    <t xml:space="preserve">Ansible Lightspeed: A Code Generation Service for IT Automation</t>
  </si>
  <si>
    <t xml:space="preserve">Sahoo, Pujar et al.</t>
  </si>
  <si>
    <t xml:space="preserve">2024</t>
  </si>
  <si>
    <t xml:space="preserve">ASE 2024 (Industry Showcase)</t>
  </si>
  <si>
    <t xml:space="preserve">Peer-reviewed</t>
  </si>
  <si>
    <t xml:space="preserve">Bringing domain-specific LLM code completion for Ansible into IDEs at production scale.</t>
  </si>
  <si>
    <t xml:space="preserve">Client-server service (VS Code extension) with inference and content-matching attribution pipelines.</t>
  </si>
  <si>
    <t xml:space="preserve">Production usage telemetry.</t>
  </si>
  <si>
    <t xml:space="preserve">49.08% acceptance rate for multi-line Ansible task suggestions.</t>
  </si>
  <si>
    <t xml:space="preserve">User acceptance rate.</t>
  </si>
  <si>
    <t xml:space="preserve">Acceptance is not correctness: no check that accepted playbooks run or are secure.</t>
  </si>
  <si>
    <t xml:space="preserve">A3</t>
  </si>
  <si>
    <t xml:space="preserve">CloudEval-YAML: A Practical Benchmark for Cloud Configuration Generation</t>
  </si>
  <si>
    <t xml:space="preserve">Xu et al.</t>
  </si>
  <si>
    <t xml:space="preserve">MLSys 2024</t>
  </si>
  <si>
    <t xml:space="preserve">No benchmark existed for LLM generation of cloud-native configuration.</t>
  </si>
  <si>
    <t xml:space="preserve">Hand-written problems with reference YAML and unit-test scripts; distributed evaluation cluster.</t>
  </si>
  <si>
    <t xml:space="preserve">1,011 problems (Kubernetes, Envoy, Istio); 12 LLMs evaluated.</t>
  </si>
  <si>
    <t xml:space="preserve">Code-specialised models perform poorly; evaluation platform gives 20x speed-up.</t>
  </si>
  <si>
    <t xml:space="preserve">BLEU, edit distance, key-value match, unit tests.</t>
  </si>
  <si>
    <t xml:space="preserve">Partial</t>
  </si>
  <si>
    <t xml:space="preserve">Generation only; no security or misconfiguration assessment of outputs.</t>
  </si>
  <si>
    <t xml:space="preserve">A4</t>
  </si>
  <si>
    <t xml:space="preserve">IaC-Eval: A Code Generation Benchmark for Cloud Infrastructure-as-Code Programs</t>
  </si>
  <si>
    <t xml:space="preserve">Kon et al.</t>
  </si>
  <si>
    <t xml:space="preserve">NeurIPS 2024 Datasets &amp; Benchmarks</t>
  </si>
  <si>
    <t xml:space="preserve">No benchmark for LLM-generated Terraform.</t>
  </si>
  <si>
    <t xml:space="preserve">NL problem + infrastructure intent specification checked with OPA policies.</t>
  </si>
  <si>
    <t xml:space="preserve">458 human-curated AWS Terraform scenarios.</t>
  </si>
  <si>
    <t xml:space="preserve">GPT-4 reaches only 19.36% pass@1 versus 86.6% on Python EvalPlus.</t>
  </si>
  <si>
    <t xml:space="preserve">terraform plan + OPA intent policies.</t>
  </si>
  <si>
    <t xml:space="preserve">Terraform/AWS only; measures functional intent, not security; no live deployment.</t>
  </si>
  <si>
    <t xml:space="preserve">A5</t>
  </si>
  <si>
    <t xml:space="preserve">Multi-IaC-Eval: Benchmarking Cloud Infrastructure as Code Across Multiple Formats</t>
  </si>
  <si>
    <t xml:space="preserve">Davidson et al.</t>
  </si>
  <si>
    <t xml:space="preserve">2025</t>
  </si>
  <si>
    <t xml:space="preserve">arXiv 2509.05303</t>
  </si>
  <si>
    <t xml:space="preserve">Benchmarks covered one IaC format at a time.</t>
  </si>
  <si>
    <t xml:space="preserve">Generation and mutation tasks across CloudFormation, Terraform and CDK with retry loop.</t>
  </si>
  <si>
    <t xml:space="preserve">Multi-format benchmark; 3 LLMs.</t>
  </si>
  <si>
    <t xml:space="preserve">High lint/Checkov pass rates after ~1.8-2.7 LLM calls per case.</t>
  </si>
  <si>
    <t xml:space="preserve">Lint, Checkov, LLM judge, edit distance.</t>
  </si>
  <si>
    <t xml:space="preserve">Static and LLM-judge checks only; no deployment or runtime behaviour.</t>
  </si>
  <si>
    <t xml:space="preserve">A6</t>
  </si>
  <si>
    <t xml:space="preserve">Deployability-Centric IaC Generation: Fail, Learn, Refine, and Succeed through LLM-Empowered DevOps Simulation (IaCGen / DPIaC-Eval)</t>
  </si>
  <si>
    <t xml:space="preserve">Zhang et al.</t>
  </si>
  <si>
    <t xml:space="preserve">2026</t>
  </si>
  <si>
    <t xml:space="preserve">FSE 2026</t>
  </si>
  <si>
    <t xml:space="preserve">IaC generation is evaluated on syntax while ignoring deployability.</t>
  </si>
  <si>
    <t xml:space="preserve">IaCGen iterative loop: format check, syntax check, live deployment feedback.</t>
  </si>
  <si>
    <t xml:space="preserve">DPIaC-Eval: 153 real-world scenarios, 58 services; 6 LLMs.</t>
  </si>
  <si>
    <t xml:space="preserve">First-attempt deployment success only 20.8-30.2%; IaCGen raises it to 54.6-91.6% within 10 iterations.</t>
  </si>
  <si>
    <t xml:space="preserve">Live deployment + syntax + intent + security dimensions.</t>
  </si>
  <si>
    <t xml:space="preserve">Yes</t>
  </si>
  <si>
    <t xml:space="preserve">Deploys generated templates, but measures 'did it deploy', not whether an application behaves correctly under traffic; generation, not security repair.</t>
  </si>
  <si>
    <t xml:space="preserve">A7</t>
  </si>
  <si>
    <t xml:space="preserve">TerraFormer: Automated IaC with LLMs Fine-Tuned via Policy-Guided Verifier Feedback</t>
  </si>
  <si>
    <t xml:space="preserve">Khalil / Buehler et al.</t>
  </si>
  <si>
    <t xml:space="preserve">ACM 2026 (arXiv 2601.08734)</t>
  </si>
  <si>
    <t xml:space="preserve">Scarce verified datasets and unreliable metrics for LLM IaC generation.</t>
  </si>
  <si>
    <t xml:space="preserve">Verifier-generated error certificates drive multi-turn repair; fine-tuning on verified TF-Gen and TF-Mutn datasets.</t>
  </si>
  <si>
    <t xml:space="preserve">Large verified Terraform datasets curated from open-source repos.</t>
  </si>
  <si>
    <t xml:space="preserve">Highest best-practice and security compliance among compared models; 3rd on IaC-Eval.</t>
  </si>
  <si>
    <t xml:space="preserve">Verifiers/policies (Checkov), plan-level deployability test.</t>
  </si>
  <si>
    <t xml:space="preserve">States real cloud deployment is slow and needs credentials, and that pre-deployment testing is an open problem.</t>
  </si>
  <si>
    <t xml:space="preserve">Stated by authors</t>
  </si>
  <si>
    <t xml:space="preserve">A8</t>
  </si>
  <si>
    <t xml:space="preserve">Compared to What? A Human-Anchored Security Benchmark for LLM-Generated Infrastructure-as-Code</t>
  </si>
  <si>
    <t xml:space="preserve">Shaw</t>
  </si>
  <si>
    <t xml:space="preserve">arXiv 2608.28021</t>
  </si>
  <si>
    <t xml:space="preserve">Prior work counts vulnerabilities in LLM IaC with no human baseline.</t>
  </si>
  <si>
    <t xml:space="preserve">Size-matched comparison against human templates; Skillings-Mack statistics; models from several vendors.</t>
  </si>
  <si>
    <t xml:space="preserve">100 deployment scenarios; 634 human templates from public repos.</t>
  </si>
  <si>
    <t xml:space="preserve">LLM IaC has 3.21-3.87x the vulnerability density of human IaC; deployability not correlated with vulnerability (r = 0.158).</t>
  </si>
  <si>
    <t xml:space="preserve">Static security scanners + deployability.</t>
  </si>
  <si>
    <t xml:space="preserve">Human baseline is curated public templates, not necessarily typical production IaC.</t>
  </si>
  <si>
    <t xml:space="preserve">A9</t>
  </si>
  <si>
    <t xml:space="preserve">Security-First Evaluation of Text-to-Terraform: Benchmarking LLMs and SLMs for Secure IaC Generation</t>
  </si>
  <si>
    <t xml:space="preserve">(arXiv)</t>
  </si>
  <si>
    <t xml:space="preserve">arXiv 2608.02672</t>
  </si>
  <si>
    <t xml:space="preserve">Security is secondary in most IaC generation benchmarks.</t>
  </si>
  <si>
    <t xml:space="preserve">CI/CD benchmark pipeline with prompt security levels and a revise stage.</t>
  </si>
  <si>
    <t xml:space="preserve">17 of 458 IaC-Eval scenarios; LLMs and SLMs.</t>
  </si>
  <si>
    <t xml:space="preserve">Checkov and Trivy frequently disagree on the same output.</t>
  </si>
  <si>
    <t xml:space="preserve">Checkov + Trivy, validate, plan.</t>
  </si>
  <si>
    <t xml:space="preserve">Small scenario subset; scanner disagreement shows static oracles are unreliable.</t>
  </si>
  <si>
    <t xml:space="preserve">A10</t>
  </si>
  <si>
    <t xml:space="preserve">SWE-InfraBench: Evaluating Language Models on Cloud Infrastructure Code</t>
  </si>
  <si>
    <t xml:space="preserve">arXiv 2606.05249</t>
  </si>
  <si>
    <t xml:space="preserve">LLM editing of imperative IaC in large stateful codebases is underexplored.</t>
  </si>
  <si>
    <t xml:space="preserve">Benchmark of realistic AWS CDK modification tasks with execution-based tests.</t>
  </si>
  <si>
    <t xml:space="preserve">AWS CDK tasks.</t>
  </si>
  <si>
    <t xml:space="preserve">First benchmark for LLM modification of imperative IaC.</t>
  </si>
  <si>
    <t xml:space="preserve">Execution-based unit tests.</t>
  </si>
  <si>
    <t xml:space="preserve">Passing tests can still hide misconfigurations or security risk; suggests static analysis and cost simulation as future work.</t>
  </si>
  <si>
    <t xml:space="preserve">B1</t>
  </si>
  <si>
    <t xml:space="preserve">B. IaC &amp; Kubernetes misconfiguration detection</t>
  </si>
  <si>
    <t xml:space="preserve">GLITCH: Automated Polyglot Security Smell Detection in Infrastructure as Code</t>
  </si>
  <si>
    <t xml:space="preserve">Saavedra &amp; Ferreira</t>
  </si>
  <si>
    <t xml:space="preserve">2022</t>
  </si>
  <si>
    <t xml:space="preserve">ASE 2022</t>
  </si>
  <si>
    <t xml:space="preserve">Security smell detectors are inconsistent across IaC technologies.</t>
  </si>
  <si>
    <t xml:space="preserve">Technology-agnostic intermediate representation with smell detectors defined on it.</t>
  </si>
  <si>
    <t xml:space="preserve">196,755 Ansible, Chef and Puppet scripts (12.3M LOC).</t>
  </si>
  <si>
    <t xml:space="preserve">Detects nine security smells consistently across languages, compared favourably with prior detectors.</t>
  </si>
  <si>
    <t xml:space="preserve">Precision/recall against labelled oracle.</t>
  </si>
  <si>
    <t xml:space="preserve">Detection only; no repair, no runtime validation.</t>
  </si>
  <si>
    <t xml:space="preserve">B2</t>
  </si>
  <si>
    <t xml:space="preserve">Security Misconfigurations in Open Source Kubernetes Manifests: An Empirical Study</t>
  </si>
  <si>
    <t xml:space="preserve">Rahman, Shamim, Bose &amp; Pandita</t>
  </si>
  <si>
    <t xml:space="preserve">ACM TOSEM 32(4)</t>
  </si>
  <si>
    <t xml:space="preserve">Little empirical evidence on security misconfigurations in Kubernetes manifests.</t>
  </si>
  <si>
    <t xml:space="preserve">Qualitative analysis + SLI-KUBE static analyser.</t>
  </si>
  <si>
    <t xml:space="preserve">2,039 manifests from 92 open-source repositories.</t>
  </si>
  <si>
    <t xml:space="preserve">11 misconfiguration categories; 1,051 instances; 15.7-20.2% of manifests affected.</t>
  </si>
  <si>
    <t xml:space="preserve">Static analysis.</t>
  </si>
  <si>
    <t xml:space="preserve">Detection only; authors call for more research and note security defects are under-reported.</t>
  </si>
  <si>
    <t xml:space="preserve">B3</t>
  </si>
  <si>
    <t xml:space="preserve">Unearthing Semantic Checks for Cloud Infrastructure-as-Code Programs (Zodiac)</t>
  </si>
  <si>
    <t xml:space="preserve">Qiu, Kon, Beckett &amp; Chen</t>
  </si>
  <si>
    <t xml:space="preserve">SOSP 2024</t>
  </si>
  <si>
    <t xml:space="preserve">IaC that passes compilation can still fail at deployment (semantic gap).</t>
  </si>
  <si>
    <t xml:space="preserve">Mine candidate checks from repos, then validate them with deployment-based testing.</t>
  </si>
  <si>
    <t xml:space="preserve">Azure Terraform resources and crawled GitHub projects.</t>
  </si>
  <si>
    <t xml:space="preserve">500+ validated semantic checks; 200+ buggy Terraform projects found.</t>
  </si>
  <si>
    <t xml:space="preserve">Real deployment.</t>
  </si>
  <si>
    <t xml:space="preserve">Targets deployment failures, not security or LLM repairs; Azure only.</t>
  </si>
  <si>
    <t xml:space="preserve">B4</t>
  </si>
  <si>
    <t xml:space="preserve">GenKubeSec: LLM-Based Kubernetes Misconfiguration Detection, Localization, Reasoning, and Remediation</t>
  </si>
  <si>
    <t xml:space="preserve">Malul, Meidan, Mimran, Elovici &amp; Shabtai</t>
  </si>
  <si>
    <t xml:space="preserve">arXiv 2405.19954</t>
  </si>
  <si>
    <t xml:space="preserve">Rule-based Kubernetes scanners have limited coverage and no explanation.</t>
  </si>
  <si>
    <t xml:space="preserve">Fine-tuned CodeT5p for detection; prompted Mistral-7B for localisation, reasoning and remediation.</t>
  </si>
  <si>
    <t xml:space="preserve">Unique labelled dataset with a Unified Misconfiguration Index.</t>
  </si>
  <si>
    <t xml:space="preserve">Precision 0.990 / recall 0.999; expert judged explanations correct on a sample.</t>
  </si>
  <si>
    <t xml:space="preserve">Labelled detection accuracy; expert review.</t>
  </si>
  <si>
    <t xml:space="preserve">Remediation is a suggestion; fixes are not applied or tested on a cluster.</t>
  </si>
  <si>
    <t xml:space="preserve">B5</t>
  </si>
  <si>
    <t xml:space="preserve">Kubernetes Misconfigurations in the Wild: Taxonomy, Evolution, and Automated Repair with LLMs</t>
  </si>
  <si>
    <t xml:space="preserve">(ACM)</t>
  </si>
  <si>
    <t xml:space="preserve">ACM 2026 (DOI 10.1145/3805760.3814908)</t>
  </si>
  <si>
    <t xml:space="preserve">Limited understanding of real misconfiguration patterns and scalable correction.</t>
  </si>
  <si>
    <t xml:space="preserve">Taxonomy from developer issues; LLM repair under enriched context plus deterministic schema enforcement.</t>
  </si>
  <si>
    <t xml:space="preserve">2,662 Stack Overflow issues.</t>
  </si>
  <si>
    <t xml:space="preserve">Hybrid approach reaches 98.50% correction accuracy with fewer new misconfigurations.</t>
  </si>
  <si>
    <t xml:space="preserve">Correction accuracy (static/schema).</t>
  </si>
  <si>
    <t xml:space="preserve">Correctness judged without deploying the repaired workloads (not stated in abstract).</t>
  </si>
  <si>
    <t xml:space="preserve">C1</t>
  </si>
  <si>
    <t xml:space="preserve">C. LLM security repair of IaC / Kubernetes</t>
  </si>
  <si>
    <t xml:space="preserve">Repairing Infrastructure-as-Code using Large Language Models</t>
  </si>
  <si>
    <t xml:space="preserve">Low, Cheh &amp; Chen</t>
  </si>
  <si>
    <t xml:space="preserve">IEEE SecDev 2024</t>
  </si>
  <si>
    <t xml:space="preserve">Scanners flag IaC misconfigurations but repair stays manual.</t>
  </si>
  <si>
    <t xml:space="preserve">Two-pass GPT-4 repair pipeline guided by Checkov.</t>
  </si>
  <si>
    <t xml:space="preserve">Vulnerable-by-design Terraform.</t>
  </si>
  <si>
    <t xml:space="preserve">Cleared 84.7% of Checkov alarms, but 20.4% of apparent successes failed schema validation or missed the real issue (as summarised by TerraProbe).</t>
  </si>
  <si>
    <t xml:space="preserve">Scanner + human check.</t>
  </si>
  <si>
    <t xml:space="preserve">Scanner-driven success criterion. Details taken from a secondary source (TerraProbe).</t>
  </si>
  <si>
    <t xml:space="preserve">Stated by later work</t>
  </si>
  <si>
    <t xml:space="preserve">C2</t>
  </si>
  <si>
    <t xml:space="preserve">Towards the Self-Healing of IaC Projects Using Constrained LLM Technologies</t>
  </si>
  <si>
    <t xml:space="preserve">Diaz-de-Arcaya et al.</t>
  </si>
  <si>
    <t xml:space="preserve">APR Workshop @ ICSE 2024</t>
  </si>
  <si>
    <t xml:space="preserve">IaC errors combine complexities of many layers and need expertise to fix.</t>
  </si>
  <si>
    <t xml:space="preserve">LLM patching of IaC; test smaller offline LLMs for edge settings.</t>
  </si>
  <si>
    <t xml:space="preserve">Constructed Ansible scenarios.</t>
  </si>
  <si>
    <t xml:space="preserve">Large LLM solved all scenarios; smaller offline models assessed as feasible.</t>
  </si>
  <si>
    <t xml:space="preserve">Scenario success (scanner-level per later review).</t>
  </si>
  <si>
    <t xml:space="preserve">Small controlled scenarios; no runtime validation of patches.</t>
  </si>
  <si>
    <t xml:space="preserve">C3</t>
  </si>
  <si>
    <t xml:space="preserve">LLMSecConfig: An LLM-Based Approach for Fixing Software Container Misconfigurations</t>
  </si>
  <si>
    <t xml:space="preserve">Ye, Le &amp; Babar</t>
  </si>
  <si>
    <t xml:space="preserve">MSR 2025</t>
  </si>
  <si>
    <t xml:space="preserve">Static tools detect container misconfigurations but cannot fix them.</t>
  </si>
  <si>
    <t xml:space="preserve">Static analysis findings + RAG over policy source and docs + iterative prompting.</t>
  </si>
  <si>
    <t xml:space="preserve">1,000 real-world Kubernetes configurations.</t>
  </si>
  <si>
    <t xml:space="preserve">94% repair success with few newly introduced misconfigurations.</t>
  </si>
  <si>
    <t xml:space="preserve">Checkov passes after repair.</t>
  </si>
  <si>
    <t xml:space="preserve">Claims functionality is preserved, but evaluation shows scanner success only; an independent review flags operational function as unproven.</t>
  </si>
  <si>
    <t xml:space="preserve">C4</t>
  </si>
  <si>
    <t xml:space="preserve">KubeGuard: LLM-Assisted Kubernetes Hardening via Configuration Files and Runtime Logs Analysis</t>
  </si>
  <si>
    <t xml:space="preserve">Sgan Cohen, Malul, Meidan, Mimran, Elovici &amp; Shabtai</t>
  </si>
  <si>
    <t xml:space="preserve">arXiv 2509.04191</t>
  </si>
  <si>
    <t xml:space="preserve">Hardening tools ignore runtime behaviour, so least-privilege configs are hard to derive.</t>
  </si>
  <si>
    <t xml:space="preserve">Prompt chains over aggregated audit, Hubble network and SPADE provenance logs to create/refine Roles, NetworkPolicies, Deployments.</t>
  </si>
  <si>
    <t xml:space="preserve">Online Boutique and AKS Store Demo on a self-managed AWS cluster.</t>
  </si>
  <si>
    <t xml:space="preserve">GPT-4o F1 0.929-1.00 across tasks; Llama-3.1-8B lower (0.50-0.81).</t>
  </si>
  <si>
    <t xml:space="preserve">Precision/recall versus a log-derived least-privilege baseline.</t>
  </si>
  <si>
    <t xml:space="preserve">Outputs are recommendations; enforcement is left to the user, so hardened manifests are not redeployed and tested. Covers three resource types.</t>
  </si>
  <si>
    <t xml:space="preserve">C5</t>
  </si>
  <si>
    <t xml:space="preserve">Does Runtime Topology Context Improve LLM-Generated Kubernetes Security Patches? (KuTIE)</t>
  </si>
  <si>
    <t xml:space="preserve">Shaikh</t>
  </si>
  <si>
    <t xml:space="preserve">LLMSec @ ESORICS 2026</t>
  </si>
  <si>
    <t xml:space="preserve">LLM patches made per finding, without the service call graph, can break downstream callers.</t>
  </si>
  <si>
    <t xml:space="preserve">Condition LLM patch generation on live Istio call edges, Trivy findings and service-account bindings.</t>
  </si>
  <si>
    <t xml:space="preserve">VulnCare: 36 deployments, 4 namespaces, 31 injectable findings in 7 dependency classes; 248 trials.</t>
  </si>
  <si>
    <t xml:space="preserve">Topology context lifts topology-dependent patch correctness from 11.1% to 78.0%.</t>
  </si>
  <si>
    <t xml:space="preserve">Correctness against cluster ground truth.</t>
  </si>
  <si>
    <t xml:space="preserve">One purpose-built cluster; Kubernetes only; no load or performance testing; does not examine security-intent (deceptive) fixes.</t>
  </si>
  <si>
    <t xml:space="preserve">C6</t>
  </si>
  <si>
    <t xml:space="preserve">TerraProbe: A Layered-Oracle Framework for Detecting Deceptive Fixes in LLM-Assisted Terraform Security Repair</t>
  </si>
  <si>
    <t xml:space="preserve">Alsaid, Nebolisa &amp; Abbas</t>
  </si>
  <si>
    <t xml:space="preserve">arXiv 2606.26590</t>
  </si>
  <si>
    <t xml:space="preserve">Repairs are called successful when the targeted finding disappears.</t>
  </si>
  <si>
    <t xml:space="preserve">Five oracle layers (targeted removal, full scan, validate, plan, plan comparison) + human adjudication; deceptive-fix taxonomy.</t>
  </si>
  <si>
    <t xml:space="preserve">288 first-pass repairs from 3 LLMs; 68 real-world TerraDS modules + 28 injected modules.</t>
  </si>
  <si>
    <t xml:space="preserve">83.3% clear the targeted finding but only 10.4% are fully scanner-clean and 39.6% plan; 57-71% of real-world plan-compared repairs are deceptive fixes.</t>
  </si>
  <si>
    <t xml:space="preserve">Scanner, validate, plan JSON, human review.</t>
  </si>
  <si>
    <t xml:space="preserve">Explicitly runs no terraform apply; AWS/Terraform only; Kubernetes extension proposed but not tested.</t>
  </si>
  <si>
    <t xml:space="preserve">C7</t>
  </si>
  <si>
    <t xml:space="preserve">IaC-Guard-V: A Verification Framework for LLM-Generated Infrastructure-as-Code Repairs</t>
  </si>
  <si>
    <t xml:space="preserve">Chauhan</t>
  </si>
  <si>
    <t xml:space="preserve">QRS 2026 (arXiv 2609.28488)</t>
  </si>
  <si>
    <t xml:space="preserve">Trustworthiness of LLM-generated IaC repairs is uninvestigated.</t>
  </si>
  <si>
    <t xml:space="preserve">Gates: syntactic validity, target-issue resolution, regression safety, patch minimality; verification-guided repair loop.</t>
  </si>
  <si>
    <t xml:space="preserve">630 runs; 3 repair strategies; 3 LLM families; Terraform and Kubernetes.</t>
  </si>
  <si>
    <t xml:space="preserve">Only 32-50% of single-shot repairs pass full verification; iterative loop reaches 68-92%.</t>
  </si>
  <si>
    <t xml:space="preserve">Scanners (static) + syntax.</t>
  </si>
  <si>
    <t xml:space="preserve">Regression safety means scanner regressions; no deployment or functional testing.</t>
  </si>
  <si>
    <t xml:space="preserve">C8</t>
  </si>
  <si>
    <t xml:space="preserve">Does Fixing Break Security? Security Degradation in Iterative LLM-Driven IaC Repair</t>
  </si>
  <si>
    <t xml:space="preserve">Agyekum &amp; Santos</t>
  </si>
  <si>
    <t xml:space="preserve">ESEM 2026</t>
  </si>
  <si>
    <t xml:space="preserve">Iterative repair loops may silently break checks that previously passed.</t>
  </si>
  <si>
    <t xml:space="preserve">Per-iteration tracking of CIS checks; root-cause classification of regressions from diffs.</t>
  </si>
  <si>
    <t xml:space="preserve">5,968 scenario timelines from IaC-Eval across 15 configurations.</t>
  </si>
  <si>
    <t xml:space="preserve">About 3.3% of scenarios regress; syntax-fixing steps carry 21% higher regression risk.</t>
  </si>
  <si>
    <t xml:space="preserve">CIS benchmark checks (static).</t>
  </si>
  <si>
    <t xml:space="preserve">Security measured statically; functional or runtime regressions not measured.</t>
  </si>
  <si>
    <t xml:space="preserve">C9</t>
  </si>
  <si>
    <t xml:space="preserve">TerraRepair: A Tool-Grounded LLM Agent for Infrastructure-as-Code Repair</t>
  </si>
  <si>
    <t xml:space="preserve">arXiv 2607.11390</t>
  </si>
  <si>
    <t xml:space="preserve">LLM repairs hallucinate constructs or suppress warnings without fixing them.</t>
  </si>
  <si>
    <t xml:space="preserve">Bounded tool-using agent that consults the provider schema before editing.</t>
  </si>
  <si>
    <t xml:space="preserve">AWS Terraform findings; baseline re-implementing Low et al.</t>
  </si>
  <si>
    <t xml:space="preserve">Tool grounding reduces unsupported constructs versus one-shot repair.</t>
  </si>
  <si>
    <t xml:space="preserve">Scanner + differential terraform validate.</t>
  </si>
  <si>
    <t xml:space="preserve">Validation stops at validate-level; no deployment.</t>
  </si>
  <si>
    <t xml:space="preserve">D1</t>
  </si>
  <si>
    <t xml:space="preserve">D. AIOps: incident RCA &amp; remediation agents</t>
  </si>
  <si>
    <t xml:space="preserve">Recommending Root-Cause and Mitigation Steps for Cloud Incidents using LLMs</t>
  </si>
  <si>
    <t xml:space="preserve">Ahmed, Ghosh, Bansal, Zimmermann, Zhang &amp; Rajmohan</t>
  </si>
  <si>
    <t xml:space="preserve">ICSE 2023</t>
  </si>
  <si>
    <t xml:space="preserve">Root-causing production incidents takes heavy manual effort.</t>
  </si>
  <si>
    <t xml:space="preserve">Fine-tuned GPT-3.x models compared in zero-shot, fine-tuned and multi-task settings.</t>
  </si>
  <si>
    <t xml:space="preserve">40,000+ Microsoft production incidents.</t>
  </si>
  <si>
    <t xml:space="preserve">First large-scale evidence that LLMs can help recommend root causes and mitigations.</t>
  </si>
  <si>
    <t xml:space="preserve">Lexical and semantic similarity metrics.</t>
  </si>
  <si>
    <t xml:space="preserve">n/a</t>
  </si>
  <si>
    <t xml:space="preserve">Uses only title/summary; fine-tuned models are hard to keep current (noted by RCACopilot).</t>
  </si>
  <si>
    <t xml:space="preserve">D2</t>
  </si>
  <si>
    <t xml:space="preserve">Automatic Root Cause Analysis via Large Language Models for Cloud Incidents (RCACopilot)</t>
  </si>
  <si>
    <t xml:space="preserve">Chen et al.</t>
  </si>
  <si>
    <t xml:space="preserve">EuroSys 2024</t>
  </si>
  <si>
    <t xml:space="preserve">Manual RCA over logs and traces is slow and error-prone.</t>
  </si>
  <si>
    <t xml:space="preserve">Incident handlers collect diagnostics; LLM predicts root-cause category and explanation.</t>
  </si>
  <si>
    <t xml:space="preserve">One year of Microsoft incidents.</t>
  </si>
  <si>
    <t xml:space="preserve">Outperforms prior approaches at root-cause category prediction (76.6% accuracy per later citation).</t>
  </si>
  <si>
    <t xml:space="preserve">Accuracy against labelled categories.</t>
  </si>
  <si>
    <t xml:space="preserve">Predefined handlers cannot cover every situation; proprietary data and LLM APIs.</t>
  </si>
  <si>
    <t xml:space="preserve">D3</t>
  </si>
  <si>
    <t xml:space="preserve">OpenRCA: Can Large Language Models Locate the Root Cause of Software Failures?</t>
  </si>
  <si>
    <t xml:space="preserve">ICLR 2025</t>
  </si>
  <si>
    <t xml:space="preserve">LLM research focuses on coding and neglects post-deployment failure analysis.</t>
  </si>
  <si>
    <t xml:space="preserve">Goal-driven RCA benchmark over heterogeneous telemetry; RCA-agent baseline.</t>
  </si>
  <si>
    <t xml:space="preserve">335 failures from 3 enterprise systems; 68 GB of logs, metrics and traces.</t>
  </si>
  <si>
    <t xml:space="preserve">Current models only handle the simplest cases.</t>
  </si>
  <si>
    <t xml:space="preserve">Match on root-cause elements (time, component, reason).</t>
  </si>
  <si>
    <t xml:space="preserve">Offline telemetry; prior benchmarks rely on proprietary data (stated).</t>
  </si>
  <si>
    <t xml:space="preserve">D4</t>
  </si>
  <si>
    <t xml:space="preserve">AIOpsLab: A Holistic Framework to Evaluate AI Agents for Enabling Autonomous Clouds</t>
  </si>
  <si>
    <t xml:space="preserve">Chen, Shetty, Somashekar et al.</t>
  </si>
  <si>
    <t xml:space="preserve">MLSys 2025</t>
  </si>
  <si>
    <t xml:space="preserve">No unified, realistic benchmark for AIOps agents.</t>
  </si>
  <si>
    <t xml:space="preserve">Framework that deploys microservice environments, injects faults, generates workloads and exports telemetry.</t>
  </si>
  <si>
    <t xml:space="preserve">Microservice apps with a built-in problem suite (~100 problems by 2025).</t>
  </si>
  <si>
    <t xml:space="preserve">Standardised interactive evaluation across detection, localisation, RCA and mitigation.</t>
  </si>
  <si>
    <t xml:space="preserve">Task success in live environment.</t>
  </si>
  <si>
    <t xml:space="preserve">Live testbeds make controlled comparison hard because evidence varies by run (noted by Cloud-OpsBench).</t>
  </si>
  <si>
    <t xml:space="preserve">D5</t>
  </si>
  <si>
    <t xml:space="preserve">ITBench: Evaluating AI Agents across Diverse Real-World IT Automation Tasks</t>
  </si>
  <si>
    <t xml:space="preserve">Jha et al.</t>
  </si>
  <si>
    <t xml:space="preserve">ICML 2025</t>
  </si>
  <si>
    <t xml:space="preserve">No systematic way to measure AI agents on real IT automation.</t>
  </si>
  <si>
    <t xml:space="preserve">Kubernetes-based scenario environments for SRE, CISO and FinOps personas; partial-credit metrics.</t>
  </si>
  <si>
    <t xml:space="preserve">94 scenarios; repeated runs.</t>
  </si>
  <si>
    <t xml:space="preserve">Agents resolve only 11.4% of SRE, 25.2% of CISO and 25.8% of FinOps scenarios.</t>
  </si>
  <si>
    <t xml:space="preserve">Scenario resolution in live Kubernetes.</t>
  </si>
  <si>
    <t xml:space="preserve">Low resolution rates show agents are far from autonomous IT operations.</t>
  </si>
  <si>
    <t xml:space="preserve">D6</t>
  </si>
  <si>
    <t xml:space="preserve">Cloud-OpsBench: A Reproducible Benchmark for Agentic Root Cause Analysis in Cloud Systems</t>
  </si>
  <si>
    <t xml:space="preserve">arXiv 2603.00468</t>
  </si>
  <si>
    <t xml:space="preserve">Static benchmarks lack interaction; live testbeds lack reproducibility; both score final answers only.</t>
  </si>
  <si>
    <t xml:space="preserve">Runtime-verified fault realisation with snapshot replay; diagnostic evidence graphs.</t>
  </si>
  <si>
    <t xml:space="preserve">754 cases, 57 fault types across app and Kubernetes layers; 10 agents.</t>
  </si>
  <si>
    <t xml:space="preserve">Best joint RCA accuracy 0.76, but evidence closure only 0.38 (0.15 on TrainTicket).</t>
  </si>
  <si>
    <t xml:space="preserve">Outcome + evidence-process metrics.</t>
  </si>
  <si>
    <t xml:space="preserve">Shows final-answer accuracy overstates agent ability.</t>
  </si>
  <si>
    <t xml:space="preserve">D7</t>
  </si>
  <si>
    <t xml:space="preserve">Why Do AI Agents Systematically Fail at Cloud Root Cause Analysis?</t>
  </si>
  <si>
    <t xml:space="preserve">arXiv 2602.09937</t>
  </si>
  <si>
    <t xml:space="preserve">Little process-level understanding of RCA agent failure.</t>
  </si>
  <si>
    <t xml:space="preserve">Run OpenRCA across 5 LLMs and classify failures into 12 pitfall types.</t>
  </si>
  <si>
    <t xml:space="preserve">1,675 agent runs.</t>
  </si>
  <si>
    <t xml:space="preserve">Hallucinated interpretation (71.2%) and incomplete exploration (63.9%) persist across all models.</t>
  </si>
  <si>
    <t xml:space="preserve">Failure taxonomy over traces.</t>
  </si>
  <si>
    <t xml:space="preserve">Prompt engineering alone cannot fix the dominant pitfalls.</t>
  </si>
  <si>
    <t xml:space="preserve">D8</t>
  </si>
  <si>
    <t xml:space="preserve">Leveraging LLMs for the Auto-remediation of Microservice Applications: An Experimental Study</t>
  </si>
  <si>
    <t xml:space="preserve">Sarda, Namrud, Litoiu, Shwartz &amp; Watts</t>
  </si>
  <si>
    <t xml:space="preserve">FSE 2024 Companion</t>
  </si>
  <si>
    <t xml:space="preserve">Automating remediation of microservice faults.</t>
  </si>
  <si>
    <t xml:space="preserve">LLM-generated Ansible playbooks; in-context and few-shot tuning of LLaMA-2-70B.</t>
  </si>
  <si>
    <t xml:space="preserve">KubePlaybook repository of Kubernetes remediation playbooks.</t>
  </si>
  <si>
    <t xml:space="preserve">LLMs can generate usable remediation scripts with minimal tuning.</t>
  </si>
  <si>
    <t xml:space="preserve">Playbook quality against references.</t>
  </si>
  <si>
    <t xml:space="preserve">Relies on very large models, limiting scalability (noted by E2E-REME).</t>
  </si>
  <si>
    <t xml:space="preserve">E1</t>
  </si>
  <si>
    <t xml:space="preserve">E. LLM serving infrastructure</t>
  </si>
  <si>
    <t xml:space="preserve">Efficient Memory Management for Large Language Model Serving with PagedAttention (vLLM)</t>
  </si>
  <si>
    <t xml:space="preserve">Kwon et al.</t>
  </si>
  <si>
    <t xml:space="preserve">SOSP 2023</t>
  </si>
  <si>
    <t xml:space="preserve">KV-cache memory fragmentation limits LLM serving throughput.</t>
  </si>
  <si>
    <t xml:space="preserve">PagedAttention: OS-style paging of KV cache; vLLM engine with block-level memory management.</t>
  </si>
  <si>
    <t xml:space="preserve">ShareGPT and other workloads; several model sizes.</t>
  </si>
  <si>
    <t xml:space="preserve">2-4x throughput over FasterTransformer and Orca at similar latency.</t>
  </si>
  <si>
    <t xml:space="preserve">Throughput and latency benchmarks.</t>
  </si>
  <si>
    <t xml:space="preserve">Single serving engine; cluster-level operations (Kubernetes deployment, autoscaling, security) out of scope.</t>
  </si>
  <si>
    <t xml:space="preserve">E2</t>
  </si>
  <si>
    <t xml:space="preserve">DistServe: Disaggregating Prefill and Decoding for Goodput-optimized LLM Serving</t>
  </si>
  <si>
    <t xml:space="preserve">Zhong et al.</t>
  </si>
  <si>
    <t xml:space="preserve">OSDI 2024</t>
  </si>
  <si>
    <t xml:space="preserve">Co-locating prefill and decode causes interference and couples resource plans.</t>
  </si>
  <si>
    <t xml:space="preserve">Assign prefill and decode to different GPUs; co-optimise parallelism and placement for TTFT/TPOT SLOs.</t>
  </si>
  <si>
    <t xml:space="preserve">Popular LLMs and applications.</t>
  </si>
  <si>
    <t xml:space="preserve">Serves 7.4x more requests or 12.6x tighter SLO while meeting latency for &gt;90% of requests.</t>
  </si>
  <si>
    <t xml:space="preserve">Goodput under SLOs.</t>
  </si>
  <si>
    <t xml:space="preserve">Needs high-bandwidth interconnect for KV transfer; operational deployment on shared clusters not addressed.</t>
  </si>
  <si>
    <t xml:space="preserve">E3</t>
  </si>
  <si>
    <t xml:space="preserve">Splitwise: Efficient Generative LLM Inference Using Phase Splitting</t>
  </si>
  <si>
    <t xml:space="preserve">Patel, Choukse, Zhang, Shah, Goiri, Maleki &amp; Bianchini</t>
  </si>
  <si>
    <t xml:space="preserve">ISCA 2024</t>
  </si>
  <si>
    <t xml:space="preserve">Token generation under-uses GPU compute; clusters are costly and power-hungry.</t>
  </si>
  <si>
    <t xml:space="preserve">Split prompt and token phases across machines suited to each phase.</t>
  </si>
  <si>
    <t xml:space="preserve">Production traces from Azure LLM inference services.</t>
  </si>
  <si>
    <t xml:space="preserve">Up to 1.4x throughput at 20% lower cost.</t>
  </si>
  <si>
    <t xml:space="preserve">Throughput, cost, power.</t>
  </si>
  <si>
    <t xml:space="preserve">Architecture-level; configuration and security of serving stacks not studied.</t>
  </si>
  <si>
    <t xml:space="preserve">F1</t>
  </si>
  <si>
    <t xml:space="preserve">F. CI/CD workflows &amp; LLMs</t>
  </si>
  <si>
    <t xml:space="preserve">On the Effectiveness of Large Language Models for GitHub Workflows</t>
  </si>
  <si>
    <t xml:space="preserve">ARES 2024</t>
  </si>
  <si>
    <t xml:space="preserve">Unknown whether LLMs can generate, check and repair GitHub workflows.</t>
  </si>
  <si>
    <t xml:space="preserve">Evaluate 3 LLMs with several prompting techniques on generation, defect detection and repair.</t>
  </si>
  <si>
    <t xml:space="preserve">~400K workflows with prompts.</t>
  </si>
  <si>
    <t xml:space="preserve">LLMs often produce invalid workflows, can introduce code injection, and are ineffective at repairing workflow defects.</t>
  </si>
  <si>
    <t xml:space="preserve">Syntax validity, Argus security analysis.</t>
  </si>
  <si>
    <t xml:space="preserve">Repairs not executed in CI to confirm the pipeline still works.</t>
  </si>
  <si>
    <t xml:space="preserve">F2</t>
  </si>
  <si>
    <t xml:space="preserve">How Compliant Are GitHub Actions Workflows? A Checklist-Based Study with LLM-Assisted Auditing</t>
  </si>
  <si>
    <t xml:space="preserve">arXiv 2605.02091</t>
  </si>
  <si>
    <t xml:space="preserve">No empirical measure of how well real workflows follow recommended practices.</t>
  </si>
  <si>
    <t xml:space="preserve">Checklist-based audit by four LLMs plus expert resolution.</t>
  </si>
  <si>
    <t xml:space="preserve">95 real workflows; 2,850 assessments; Java open-source projects.</t>
  </si>
  <si>
    <t xml:space="preserve">Overall compliance 28-38%; security only 26%; LLMs over-flag and agree only fairly.</t>
  </si>
  <si>
    <t xml:space="preserve">Expert-validated checklist.</t>
  </si>
  <si>
    <t xml:space="preserve">Java projects only; LLMs cannot replace expert auditors.</t>
  </si>
  <si>
    <t xml:space="preserve">Gap</t>
  </si>
  <si>
    <t xml:space="preserve">Gap in one line</t>
  </si>
  <si>
    <t xml:space="preserve">Evidence from the literature</t>
  </si>
  <si>
    <t xml:space="preserve">Supporting papers (IDs)</t>
  </si>
  <si>
    <t xml:space="preserve">Priority</t>
  </si>
  <si>
    <t xml:space="preserve">G1</t>
  </si>
  <si>
    <t xml:space="preserve">Repair is judged before deployment</t>
  </si>
  <si>
    <t xml:space="preserve">Almost every LLM security-repair study counts a fix as successful once scanners, validate or plan pass. TerraProbe explicitly runs no apply; TerraFormer calls real deployment slow and pre-deployment testing an open problem.</t>
  </si>
  <si>
    <t xml:space="preserve">C1, C3, C6, C7, C8, C9, A7</t>
  </si>
  <si>
    <t xml:space="preserve">Primary</t>
  </si>
  <si>
    <t xml:space="preserve">G2</t>
  </si>
  <si>
    <t xml:space="preserve">Deployment checks stop at 'did it deploy'</t>
  </si>
  <si>
    <t xml:space="preserve">Where real infrastructure is used (IaCGen, Zodiac, KuTIE), success means the resource deploys or a patch matches ground truth. None measures application behaviour under realistic traffic (error rate, latency) after a security fix.</t>
  </si>
  <si>
    <t xml:space="preserve">A6, B3, C5</t>
  </si>
  <si>
    <t xml:space="preserve">G3</t>
  </si>
  <si>
    <t xml:space="preserve">Security intent and functional correctness are never measured together</t>
  </si>
  <si>
    <t xml:space="preserve">TerraProbe measures security intent (deceptive fixes) without runtime; KuTIE measures runtime correctness without intent analysis; KubeGuard scores least-privilege accuracy against logs without redeploying. No study reports both on the same repairs.</t>
  </si>
  <si>
    <t xml:space="preserve">C4, C5, C6</t>
  </si>
  <si>
    <t xml:space="preserve">G4</t>
  </si>
  <si>
    <t xml:space="preserve">Terraform and Kubernetes are studied separately</t>
  </si>
  <si>
    <t xml:space="preserve">TerraProbe proposes a Kubernetes version of its oracle stack but has not run it; IaC-Guard-V covers Kubernetes only statically; Kubernetes repair studies rarely touch cloud IAM.</t>
  </si>
  <si>
    <t xml:space="preserve">C5, C6, C7, B2</t>
  </si>
  <si>
    <t xml:space="preserve">Secondary</t>
  </si>
  <si>
    <t xml:space="preserve">G5</t>
  </si>
  <si>
    <t xml:space="preserve">Benchmarks are clean and answer-focused</t>
  </si>
  <si>
    <t xml:space="preserve">Agent benchmarks use clean, single-fault injections on small demo apps and score final answers; process-level evidence shows accuracy is overstated.</t>
  </si>
  <si>
    <t xml:space="preserve">D3, D4, D6, D7</t>
  </si>
  <si>
    <t xml:space="preserve">Context (adjacent direction)</t>
  </si>
  <si>
    <t xml:space="preserve">G6</t>
  </si>
  <si>
    <t xml:space="preserve">Serving-stack research ignores operations</t>
  </si>
  <si>
    <t xml:space="preserve">LLM serving papers optimise engine and cluster throughput; secure configuration and operation of serving stacks on Kubernetes is not studied.</t>
  </si>
  <si>
    <t xml:space="preserve">E1, E2, E3</t>
  </si>
  <si>
    <t xml:space="preserve">Proposed research gap</t>
  </si>
  <si>
    <t xml:space="preserve">Combining G1-G4: no study evaluates LLM security repairs for both Kubernetes and Terraform by deploying them and testing the running application under realistic load, while also checking that the security intent of each fix is met. Closest work: TerraProbe (C6, intent but no deployment), KuTIE (C5, runtime correctness on one custom cluster, no load, no intent), IaC-Guard-V (C7, static verification only).</t>
  </si>
  <si>
    <t xml:space="preserve">Caution</t>
  </si>
  <si>
    <t xml:space="preserve">Three of the closest papers (C5, C6, C7) appeared between July and September 2026. Re-check arXiv for new LLM IaC/Kubernetes repair work immediately before writing and again before submission.</t>
  </si>
  <si>
    <t xml:space="preserve">Papers</t>
  </si>
  <si>
    <t xml:space="preserve">Preprints</t>
  </si>
  <si>
    <t xml:space="preserve">Deploy: Yes</t>
  </si>
  <si>
    <t xml:space="preserve">Deploy: Partial</t>
  </si>
  <si>
    <t xml:space="preserve">Deploy: No</t>
  </si>
  <si>
    <t xml:space="preserve">Share that deploy (Yes)</t>
  </si>
  <si>
    <t xml:space="preserve">Total</t>
  </si>
  <si>
    <t xml:space="preserve">Counts update automatically when rows are added to or edited in the Literature Matrix.</t>
  </si>
  <si>
    <t xml:space="preserve">Item</t>
  </si>
  <si>
    <t xml:space="preserve">Detail</t>
  </si>
  <si>
    <t xml:space="preserve">Search date</t>
  </si>
  <si>
    <t xml:space="preserve">3 October 2026</t>
  </si>
  <si>
    <t xml:space="preserve">Scope</t>
  </si>
  <si>
    <t xml:space="preserve">Cloud/DevOps + AI broadly: LLM generation and repair of IaC and Kubernetes configuration, misconfiguration detection, AIOps agents for incident RCA and remediation, LLM serving infrastructure, CI/CD workflows.</t>
  </si>
  <si>
    <t xml:space="preserve">Years</t>
  </si>
  <si>
    <t xml:space="preserve">2020-2026</t>
  </si>
  <si>
    <t xml:space="preserve">Sources searched</t>
  </si>
  <si>
    <t xml:space="preserve">Web search across arXiv, ACM Digital Library, IEEE Xplore/Computer Society, USENIX, NeurIPS, ICLR, ICML and MLSys proceedings; citation chasing from related-work sections of the closest papers (TerraProbe, KubeGuard, IaC-Guard-V).</t>
  </si>
  <si>
    <t xml:space="preserve">Inclusion</t>
  </si>
  <si>
    <t xml:space="preserve">Peer-reviewed conference/journal papers or arXiv preprints; proposes a method, benchmark or empirical study in the scope above; reports quantitative results.</t>
  </si>
  <si>
    <t xml:space="preserve">Exclusion</t>
  </si>
  <si>
    <t xml:space="preserve">Pre-2020 work; blogs and vendor white papers; papers without evaluation; papers whose venue or content could not be checked.</t>
  </si>
  <si>
    <t xml:space="preserve">Result</t>
  </si>
  <si>
    <t xml:space="preserve">37 papers: 25 peer-reviewed, 12 preprints, grouped into six themes (see Theme Summary).</t>
  </si>
  <si>
    <t xml:space="preserve">'Deploys to real infra?'</t>
  </si>
  <si>
    <t xml:space="preserve">Yes = outputs are deployed to a real cluster or cloud as part of evaluation; Partial = execution tests, deployability check or live environment for some tasks only; No = static, plan-level or text-similarity evaluation; n/a = not a configuration task.</t>
  </si>
  <si>
    <t xml:space="preserve">'Gap source'</t>
  </si>
  <si>
    <t xml:space="preserve">Stated by authors = limitation the paper itself reports; Stated by later work = limitation reported by a citing paper; Our observation = limitation inferred from the paper's evaluation design.</t>
  </si>
  <si>
    <t xml:space="preserve">Known limitations</t>
  </si>
  <si>
    <t xml:space="preserve">Not a full systematic review (no database query counts or screening log). Some details for C1 come from a secondary source. Venues of preprints may change. Verify key numbers against each PDF before citing.</t>
  </si>
  <si>
    <t xml:space="preserve">Next step</t>
  </si>
  <si>
    <t xml:space="preserve">Run a formal PRISMA-style search (Scopus/IEEE Xplore/ACM DL query strings, screening counts) if the professor wants a systematic review section.</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</si>
</sst>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1"/>
      <name val="Arial"/>
      <family val="0"/>
      <charset val="1"/>
    </font>
    <font>
      <b val="true"/>
      <sz val="10"/>
      <name val="Arial"/>
      <family val="0"/>
      <charset val="1"/>
    </font>
    <font>
      <i val="true"/>
      <sz val="9"/>
      <color rgb="FF59595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EEAF6"/>
        <bgColor rgb="FFE7E6E6"/>
      </patternFill>
    </fill>
    <fill>
      <patternFill patternType="solid">
        <fgColor rgb="FFE2EFDA"/>
        <bgColor rgb="FFE7E6E6"/>
      </patternFill>
    </fill>
    <fill>
      <patternFill patternType="solid">
        <fgColor rgb="FFFCE4D6"/>
        <bgColor rgb="FFFFF2CC"/>
      </patternFill>
    </fill>
    <fill>
      <patternFill patternType="solid">
        <fgColor rgb="FFEDE7F6"/>
        <bgColor rgb="FFE7E6E6"/>
      </patternFill>
    </fill>
    <fill>
      <patternFill patternType="solid">
        <fgColor rgb="FFFFF2CC"/>
        <bgColor rgb="FFFCE4D6"/>
      </patternFill>
    </fill>
    <fill>
      <patternFill patternType="solid">
        <fgColor rgb="FFE7E6E6"/>
        <bgColor rgb="FFEDE7F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EEAF6"/>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EDE7F6"/>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563C1"/>
      <rgbColor rgb="FFEDE7F6"/>
      <rgbColor rgb="FF000080"/>
      <rgbColor rgb="FFFF00FF"/>
      <rgbColor rgb="FFFFFF00"/>
      <rgbColor rgb="FF00FFFF"/>
      <rgbColor rgb="FF800080"/>
      <rgbColor rgb="FF800000"/>
      <rgbColor rgb="FF008080"/>
      <rgbColor rgb="FF0000FF"/>
      <rgbColor rgb="FF00CCFF"/>
      <rgbColor rgb="FFE7E6E6"/>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abs/2305.02783" TargetMode="External"/><Relationship Id="rId2" Type="http://schemas.openxmlformats.org/officeDocument/2006/relationships/hyperlink" Target="https://arxiv.org/abs/2402.17442" TargetMode="External"/><Relationship Id="rId3" Type="http://schemas.openxmlformats.org/officeDocument/2006/relationships/hyperlink" Target="https://proceedings.mlsys.org/paper_files/paper/2024/hash/554e056fe2b6d9fd27ffcd3367ae1267-Abstract-Conference.html" TargetMode="External"/><Relationship Id="rId4" Type="http://schemas.openxmlformats.org/officeDocument/2006/relationships/hyperlink" Target="https://neurips.cc/virtual/2024/poster/97835" TargetMode="External"/><Relationship Id="rId5" Type="http://schemas.openxmlformats.org/officeDocument/2006/relationships/hyperlink" Target="https://arxiv.org/pdf/2509.05303" TargetMode="External"/><Relationship Id="rId6" Type="http://schemas.openxmlformats.org/officeDocument/2006/relationships/hyperlink" Target="https://arxiv.org/abs/2506.05623v3" TargetMode="External"/><Relationship Id="rId7" Type="http://schemas.openxmlformats.org/officeDocument/2006/relationships/hyperlink" Target="https://dl.acm.org/doi/10.1145/3786583.3786898" TargetMode="External"/><Relationship Id="rId8" Type="http://schemas.openxmlformats.org/officeDocument/2006/relationships/hyperlink" Target="https://arxiv.org/abs/2608.28021v1" TargetMode="External"/><Relationship Id="rId9" Type="http://schemas.openxmlformats.org/officeDocument/2006/relationships/hyperlink" Target="https://arxiv.org/html/2608.02672" TargetMode="External"/><Relationship Id="rId10" Type="http://schemas.openxmlformats.org/officeDocument/2006/relationships/hyperlink" Target="https://arxiv.org/html/2606.05249" TargetMode="External"/><Relationship Id="rId11" Type="http://schemas.openxmlformats.org/officeDocument/2006/relationships/hyperlink" Target="https://dl.acm.org/doi/10.1145/3551349.3556945" TargetMode="External"/><Relationship Id="rId12" Type="http://schemas.openxmlformats.org/officeDocument/2006/relationships/hyperlink" Target="https://dl.acm.org/doi/10.1145/3579639" TargetMode="External"/><Relationship Id="rId13" Type="http://schemas.openxmlformats.org/officeDocument/2006/relationships/hyperlink" Target="https://dl.acm.org/doi/10.1145/3694715.3695974" TargetMode="External"/><Relationship Id="rId14" Type="http://schemas.openxmlformats.org/officeDocument/2006/relationships/hyperlink" Target="https://arxiv.org/abs/2405.19954" TargetMode="External"/><Relationship Id="rId15" Type="http://schemas.openxmlformats.org/officeDocument/2006/relationships/hyperlink" Target="https://doi.org/10.1145/3805760.3814908" TargetMode="External"/><Relationship Id="rId16" Type="http://schemas.openxmlformats.org/officeDocument/2006/relationships/hyperlink" Target="https://arxiv.org/abs/2606.26590" TargetMode="External"/><Relationship Id="rId17" Type="http://schemas.openxmlformats.org/officeDocument/2006/relationships/hyperlink" Target="https://dl.acm.org/doi/abs/10.1145/3643788.3648014" TargetMode="External"/><Relationship Id="rId18" Type="http://schemas.openxmlformats.org/officeDocument/2006/relationships/hyperlink" Target="https://arxiv.org/pdf/2502.02009" TargetMode="External"/><Relationship Id="rId19" Type="http://schemas.openxmlformats.org/officeDocument/2006/relationships/hyperlink" Target="https://arxiv.org/abs/2509.04191" TargetMode="External"/><Relationship Id="rId20" Type="http://schemas.openxmlformats.org/officeDocument/2006/relationships/hyperlink" Target="https://arxiv.org/abs/2607.25995" TargetMode="External"/><Relationship Id="rId21" Type="http://schemas.openxmlformats.org/officeDocument/2006/relationships/hyperlink" Target="https://arxiv.org/abs/2606.26590" TargetMode="External"/><Relationship Id="rId22" Type="http://schemas.openxmlformats.org/officeDocument/2006/relationships/hyperlink" Target="https://arxiv.org/abs/2609.28488" TargetMode="External"/><Relationship Id="rId23" Type="http://schemas.openxmlformats.org/officeDocument/2006/relationships/hyperlink" Target="https://arxiv.org/abs/2608.13404" TargetMode="External"/><Relationship Id="rId24" Type="http://schemas.openxmlformats.org/officeDocument/2006/relationships/hyperlink" Target="https://arxiv.org/html/2607.11390v1" TargetMode="External"/><Relationship Id="rId25" Type="http://schemas.openxmlformats.org/officeDocument/2006/relationships/hyperlink" Target="https://www.semanticscholar.org/paper/Recommending-Root-Cause-and-Mitigation-Steps-for-Ahmed-Ghosh/fba0b0817dbc8200b41a1de22654b54b778a11e9" TargetMode="External"/><Relationship Id="rId26" Type="http://schemas.openxmlformats.org/officeDocument/2006/relationships/hyperlink" Target="https://dl.acm.org/doi/10.1145/3627703.3629553" TargetMode="External"/><Relationship Id="rId27" Type="http://schemas.openxmlformats.org/officeDocument/2006/relationships/hyperlink" Target="https://iclr.cc/virtual/2025/poster/32093" TargetMode="External"/><Relationship Id="rId28" Type="http://schemas.openxmlformats.org/officeDocument/2006/relationships/hyperlink" Target="https://proceedings.mlsys.org/paper_files/paper/2025/hash/d1f9e4a9f109b6e8b75ed362736f22ec-Abstract-Conference.html" TargetMode="External"/><Relationship Id="rId29" Type="http://schemas.openxmlformats.org/officeDocument/2006/relationships/hyperlink" Target="https://icml.cc/virtual/2025/poster/44303" TargetMode="External"/><Relationship Id="rId30" Type="http://schemas.openxmlformats.org/officeDocument/2006/relationships/hyperlink" Target="https://arxiv.org/abs/2603.00468" TargetMode="External"/><Relationship Id="rId31" Type="http://schemas.openxmlformats.org/officeDocument/2006/relationships/hyperlink" Target="https://arxiv.org/html/2602.09937v2" TargetMode="External"/><Relationship Id="rId32" Type="http://schemas.openxmlformats.org/officeDocument/2006/relationships/hyperlink" Target="https://www.researchgate.net/publication/382152525_Leveraging_Large_Language_Models_for_the_Auto-remediation_of_Microservice_Applications_An_Experimental_Study" TargetMode="External"/><Relationship Id="rId33" Type="http://schemas.openxmlformats.org/officeDocument/2006/relationships/hyperlink" Target="https://arxiv.org/pdf/2309.06180" TargetMode="External"/><Relationship Id="rId34" Type="http://schemas.openxmlformats.org/officeDocument/2006/relationships/hyperlink" Target="https://www.usenix.org/conference/osdi24/presentation/zhong-yinmin" TargetMode="External"/><Relationship Id="rId35" Type="http://schemas.openxmlformats.org/officeDocument/2006/relationships/hyperlink" Target="https://dl.acm.org/doi/10.1109/ISCA59077.2024.00019" TargetMode="External"/><Relationship Id="rId36" Type="http://schemas.openxmlformats.org/officeDocument/2006/relationships/hyperlink" Target="https://arxiv.org/pdf/2403.12446" TargetMode="External"/><Relationship Id="rId37" Type="http://schemas.openxmlformats.org/officeDocument/2006/relationships/hyperlink" Target="https://arxiv.org/html/2605.02091" TargetMode="External"/><Relationship Id="rId3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42"/>
    <col collapsed="false" customWidth="true" hidden="false" outlineLevel="0" max="4" min="4" style="0" width="22"/>
    <col collapsed="false" customWidth="true" hidden="false" outlineLevel="0" max="5" min="5" style="0" width="7"/>
    <col collapsed="false" customWidth="true" hidden="false" outlineLevel="0" max="6" min="6" style="0" width="22"/>
    <col collapsed="false" customWidth="true" hidden="false" outlineLevel="0" max="7" min="7" style="0" width="13"/>
    <col collapsed="false" customWidth="true" hidden="false" outlineLevel="0" max="8" min="8" style="0" width="36"/>
    <col collapsed="false" customWidth="true" hidden="false" outlineLevel="0" max="9" min="9" style="0" width="40"/>
    <col collapsed="false" customWidth="true" hidden="false" outlineLevel="0" max="10" min="10" style="0" width="32"/>
    <col collapsed="false" customWidth="true" hidden="false" outlineLevel="0" max="11" min="11" style="0" width="40"/>
    <col collapsed="false" customWidth="true" hidden="false" outlineLevel="0" max="12" min="12" style="0" width="28"/>
    <col collapsed="false" customWidth="true" hidden="false" outlineLevel="0" max="13" min="13" style="0" width="13"/>
    <col collapsed="false" customWidth="true" hidden="false" outlineLevel="0" max="14" min="14" style="0" width="44"/>
    <col collapsed="false" customWidth="true" hidden="false" outlineLevel="0" max="15" min="15" style="0" width="16"/>
    <col collapsed="false" customWidth="true" hidden="false" outlineLevel="0" max="16" min="16" style="0" width="1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35.05" hidden="false" customHeight="false" outlineLevel="0" collapsed="false">
      <c r="A2" s="2" t="s">
        <v>16</v>
      </c>
      <c r="B2" s="3" t="s">
        <v>17</v>
      </c>
      <c r="C2" s="2" t="s">
        <v>18</v>
      </c>
      <c r="D2" s="2" t="s">
        <v>19</v>
      </c>
      <c r="E2" s="2" t="s">
        <v>20</v>
      </c>
      <c r="F2" s="2" t="s">
        <v>21</v>
      </c>
      <c r="G2" s="2" t="s">
        <v>22</v>
      </c>
      <c r="H2" s="2" t="s">
        <v>23</v>
      </c>
      <c r="I2" s="2" t="s">
        <v>24</v>
      </c>
      <c r="J2" s="2" t="s">
        <v>25</v>
      </c>
      <c r="K2" s="2" t="s">
        <v>26</v>
      </c>
      <c r="L2" s="2" t="s">
        <v>27</v>
      </c>
      <c r="M2" s="2" t="s">
        <v>28</v>
      </c>
      <c r="N2" s="2" t="s">
        <v>29</v>
      </c>
      <c r="O2" s="2" t="s">
        <v>30</v>
      </c>
      <c r="P2" s="4" t="s">
        <v>31</v>
      </c>
    </row>
    <row r="3" customFormat="false" ht="35.05" hidden="false" customHeight="false" outlineLevel="0" collapsed="false">
      <c r="A3" s="2" t="s">
        <v>32</v>
      </c>
      <c r="B3" s="3" t="s">
        <v>17</v>
      </c>
      <c r="C3" s="2" t="s">
        <v>33</v>
      </c>
      <c r="D3" s="2" t="s">
        <v>34</v>
      </c>
      <c r="E3" s="2" t="s">
        <v>35</v>
      </c>
      <c r="F3" s="2" t="s">
        <v>36</v>
      </c>
      <c r="G3" s="2" t="s">
        <v>37</v>
      </c>
      <c r="H3" s="2" t="s">
        <v>38</v>
      </c>
      <c r="I3" s="2" t="s">
        <v>39</v>
      </c>
      <c r="J3" s="2" t="s">
        <v>40</v>
      </c>
      <c r="K3" s="2" t="s">
        <v>41</v>
      </c>
      <c r="L3" s="2" t="s">
        <v>42</v>
      </c>
      <c r="M3" s="2" t="s">
        <v>28</v>
      </c>
      <c r="N3" s="2" t="s">
        <v>43</v>
      </c>
      <c r="O3" s="2" t="s">
        <v>30</v>
      </c>
      <c r="P3" s="4" t="s">
        <v>31</v>
      </c>
    </row>
    <row r="4" customFormat="false" ht="23.85" hidden="false" customHeight="false" outlineLevel="0" collapsed="false">
      <c r="A4" s="2" t="s">
        <v>44</v>
      </c>
      <c r="B4" s="3" t="s">
        <v>17</v>
      </c>
      <c r="C4" s="2" t="s">
        <v>45</v>
      </c>
      <c r="D4" s="2" t="s">
        <v>46</v>
      </c>
      <c r="E4" s="2" t="s">
        <v>35</v>
      </c>
      <c r="F4" s="2" t="s">
        <v>47</v>
      </c>
      <c r="G4" s="2" t="s">
        <v>37</v>
      </c>
      <c r="H4" s="2" t="s">
        <v>48</v>
      </c>
      <c r="I4" s="2" t="s">
        <v>49</v>
      </c>
      <c r="J4" s="2" t="s">
        <v>50</v>
      </c>
      <c r="K4" s="2" t="s">
        <v>51</v>
      </c>
      <c r="L4" s="2" t="s">
        <v>52</v>
      </c>
      <c r="M4" s="2" t="s">
        <v>53</v>
      </c>
      <c r="N4" s="2" t="s">
        <v>54</v>
      </c>
      <c r="O4" s="2" t="s">
        <v>30</v>
      </c>
      <c r="P4" s="4" t="s">
        <v>31</v>
      </c>
    </row>
    <row r="5" customFormat="false" ht="23.85" hidden="false" customHeight="false" outlineLevel="0" collapsed="false">
      <c r="A5" s="2" t="s">
        <v>55</v>
      </c>
      <c r="B5" s="3" t="s">
        <v>17</v>
      </c>
      <c r="C5" s="2" t="s">
        <v>56</v>
      </c>
      <c r="D5" s="2" t="s">
        <v>57</v>
      </c>
      <c r="E5" s="2" t="s">
        <v>35</v>
      </c>
      <c r="F5" s="2" t="s">
        <v>58</v>
      </c>
      <c r="G5" s="2" t="s">
        <v>37</v>
      </c>
      <c r="H5" s="2" t="s">
        <v>59</v>
      </c>
      <c r="I5" s="2" t="s">
        <v>60</v>
      </c>
      <c r="J5" s="2" t="s">
        <v>61</v>
      </c>
      <c r="K5" s="2" t="s">
        <v>62</v>
      </c>
      <c r="L5" s="2" t="s">
        <v>63</v>
      </c>
      <c r="M5" s="2" t="s">
        <v>28</v>
      </c>
      <c r="N5" s="2" t="s">
        <v>64</v>
      </c>
      <c r="O5" s="2" t="s">
        <v>30</v>
      </c>
      <c r="P5" s="4" t="s">
        <v>31</v>
      </c>
    </row>
    <row r="6" customFormat="false" ht="35.05" hidden="false" customHeight="false" outlineLevel="0" collapsed="false">
      <c r="A6" s="2" t="s">
        <v>65</v>
      </c>
      <c r="B6" s="3" t="s">
        <v>17</v>
      </c>
      <c r="C6" s="2" t="s">
        <v>66</v>
      </c>
      <c r="D6" s="2" t="s">
        <v>67</v>
      </c>
      <c r="E6" s="2" t="s">
        <v>68</v>
      </c>
      <c r="F6" s="2" t="s">
        <v>69</v>
      </c>
      <c r="G6" s="2" t="s">
        <v>22</v>
      </c>
      <c r="H6" s="2" t="s">
        <v>70</v>
      </c>
      <c r="I6" s="2" t="s">
        <v>71</v>
      </c>
      <c r="J6" s="2" t="s">
        <v>72</v>
      </c>
      <c r="K6" s="2" t="s">
        <v>73</v>
      </c>
      <c r="L6" s="2" t="s">
        <v>74</v>
      </c>
      <c r="M6" s="2" t="s">
        <v>28</v>
      </c>
      <c r="N6" s="2" t="s">
        <v>75</v>
      </c>
      <c r="O6" s="2" t="s">
        <v>30</v>
      </c>
      <c r="P6" s="4" t="s">
        <v>31</v>
      </c>
    </row>
    <row r="7" customFormat="false" ht="35.05" hidden="false" customHeight="false" outlineLevel="0" collapsed="false">
      <c r="A7" s="2" t="s">
        <v>76</v>
      </c>
      <c r="B7" s="3" t="s">
        <v>17</v>
      </c>
      <c r="C7" s="2" t="s">
        <v>77</v>
      </c>
      <c r="D7" s="2" t="s">
        <v>78</v>
      </c>
      <c r="E7" s="2" t="s">
        <v>79</v>
      </c>
      <c r="F7" s="2" t="s">
        <v>80</v>
      </c>
      <c r="G7" s="2" t="s">
        <v>37</v>
      </c>
      <c r="H7" s="2" t="s">
        <v>81</v>
      </c>
      <c r="I7" s="2" t="s">
        <v>82</v>
      </c>
      <c r="J7" s="2" t="s">
        <v>83</v>
      </c>
      <c r="K7" s="2" t="s">
        <v>84</v>
      </c>
      <c r="L7" s="2" t="s">
        <v>85</v>
      </c>
      <c r="M7" s="2" t="s">
        <v>86</v>
      </c>
      <c r="N7" s="2" t="s">
        <v>87</v>
      </c>
      <c r="O7" s="2" t="s">
        <v>30</v>
      </c>
      <c r="P7" s="4" t="s">
        <v>31</v>
      </c>
    </row>
    <row r="8" customFormat="false" ht="35.05" hidden="false" customHeight="false" outlineLevel="0" collapsed="false">
      <c r="A8" s="2" t="s">
        <v>88</v>
      </c>
      <c r="B8" s="3" t="s">
        <v>17</v>
      </c>
      <c r="C8" s="2" t="s">
        <v>89</v>
      </c>
      <c r="D8" s="2" t="s">
        <v>90</v>
      </c>
      <c r="E8" s="2" t="s">
        <v>79</v>
      </c>
      <c r="F8" s="2" t="s">
        <v>91</v>
      </c>
      <c r="G8" s="2" t="s">
        <v>37</v>
      </c>
      <c r="H8" s="2" t="s">
        <v>92</v>
      </c>
      <c r="I8" s="2" t="s">
        <v>93</v>
      </c>
      <c r="J8" s="2" t="s">
        <v>94</v>
      </c>
      <c r="K8" s="2" t="s">
        <v>95</v>
      </c>
      <c r="L8" s="2" t="s">
        <v>96</v>
      </c>
      <c r="M8" s="2" t="s">
        <v>28</v>
      </c>
      <c r="N8" s="2" t="s">
        <v>97</v>
      </c>
      <c r="O8" s="2" t="s">
        <v>98</v>
      </c>
      <c r="P8" s="4" t="s">
        <v>31</v>
      </c>
    </row>
    <row r="9" customFormat="false" ht="35.05" hidden="false" customHeight="false" outlineLevel="0" collapsed="false">
      <c r="A9" s="2" t="s">
        <v>99</v>
      </c>
      <c r="B9" s="3" t="s">
        <v>17</v>
      </c>
      <c r="C9" s="2" t="s">
        <v>100</v>
      </c>
      <c r="D9" s="2" t="s">
        <v>101</v>
      </c>
      <c r="E9" s="2" t="s">
        <v>79</v>
      </c>
      <c r="F9" s="2" t="s">
        <v>102</v>
      </c>
      <c r="G9" s="2" t="s">
        <v>22</v>
      </c>
      <c r="H9" s="2" t="s">
        <v>103</v>
      </c>
      <c r="I9" s="2" t="s">
        <v>104</v>
      </c>
      <c r="J9" s="2" t="s">
        <v>105</v>
      </c>
      <c r="K9" s="2" t="s">
        <v>106</v>
      </c>
      <c r="L9" s="2" t="s">
        <v>107</v>
      </c>
      <c r="M9" s="2" t="s">
        <v>53</v>
      </c>
      <c r="N9" s="2" t="s">
        <v>108</v>
      </c>
      <c r="O9" s="2" t="s">
        <v>98</v>
      </c>
      <c r="P9" s="4" t="s">
        <v>31</v>
      </c>
    </row>
    <row r="10" customFormat="false" ht="35.05" hidden="false" customHeight="false" outlineLevel="0" collapsed="false">
      <c r="A10" s="2" t="s">
        <v>109</v>
      </c>
      <c r="B10" s="3" t="s">
        <v>17</v>
      </c>
      <c r="C10" s="2" t="s">
        <v>110</v>
      </c>
      <c r="D10" s="2" t="s">
        <v>111</v>
      </c>
      <c r="E10" s="2" t="s">
        <v>79</v>
      </c>
      <c r="F10" s="2" t="s">
        <v>112</v>
      </c>
      <c r="G10" s="2" t="s">
        <v>22</v>
      </c>
      <c r="H10" s="2" t="s">
        <v>113</v>
      </c>
      <c r="I10" s="2" t="s">
        <v>114</v>
      </c>
      <c r="J10" s="2" t="s">
        <v>115</v>
      </c>
      <c r="K10" s="2" t="s">
        <v>116</v>
      </c>
      <c r="L10" s="2" t="s">
        <v>117</v>
      </c>
      <c r="M10" s="2" t="s">
        <v>28</v>
      </c>
      <c r="N10" s="2" t="s">
        <v>118</v>
      </c>
      <c r="O10" s="2" t="s">
        <v>30</v>
      </c>
      <c r="P10" s="4" t="s">
        <v>31</v>
      </c>
    </row>
    <row r="11" customFormat="false" ht="35.05" hidden="false" customHeight="false" outlineLevel="0" collapsed="false">
      <c r="A11" s="2" t="s">
        <v>119</v>
      </c>
      <c r="B11" s="3" t="s">
        <v>17</v>
      </c>
      <c r="C11" s="2" t="s">
        <v>120</v>
      </c>
      <c r="D11" s="2" t="s">
        <v>111</v>
      </c>
      <c r="E11" s="2" t="s">
        <v>79</v>
      </c>
      <c r="F11" s="2" t="s">
        <v>121</v>
      </c>
      <c r="G11" s="2" t="s">
        <v>22</v>
      </c>
      <c r="H11" s="2" t="s">
        <v>122</v>
      </c>
      <c r="I11" s="2" t="s">
        <v>123</v>
      </c>
      <c r="J11" s="2" t="s">
        <v>124</v>
      </c>
      <c r="K11" s="2" t="s">
        <v>125</v>
      </c>
      <c r="L11" s="2" t="s">
        <v>126</v>
      </c>
      <c r="M11" s="2" t="s">
        <v>53</v>
      </c>
      <c r="N11" s="2" t="s">
        <v>127</v>
      </c>
      <c r="O11" s="2" t="s">
        <v>98</v>
      </c>
      <c r="P11" s="4" t="s">
        <v>31</v>
      </c>
    </row>
    <row r="12" customFormat="false" ht="35.05" hidden="false" customHeight="false" outlineLevel="0" collapsed="false">
      <c r="A12" s="2" t="s">
        <v>128</v>
      </c>
      <c r="B12" s="5" t="s">
        <v>129</v>
      </c>
      <c r="C12" s="2" t="s">
        <v>130</v>
      </c>
      <c r="D12" s="2" t="s">
        <v>131</v>
      </c>
      <c r="E12" s="2" t="s">
        <v>132</v>
      </c>
      <c r="F12" s="2" t="s">
        <v>133</v>
      </c>
      <c r="G12" s="2" t="s">
        <v>37</v>
      </c>
      <c r="H12" s="2" t="s">
        <v>134</v>
      </c>
      <c r="I12" s="2" t="s">
        <v>135</v>
      </c>
      <c r="J12" s="2" t="s">
        <v>136</v>
      </c>
      <c r="K12" s="2" t="s">
        <v>137</v>
      </c>
      <c r="L12" s="2" t="s">
        <v>138</v>
      </c>
      <c r="M12" s="2" t="s">
        <v>28</v>
      </c>
      <c r="N12" s="2" t="s">
        <v>139</v>
      </c>
      <c r="O12" s="2" t="s">
        <v>30</v>
      </c>
      <c r="P12" s="4" t="s">
        <v>31</v>
      </c>
    </row>
    <row r="13" customFormat="false" ht="23.85" hidden="false" customHeight="false" outlineLevel="0" collapsed="false">
      <c r="A13" s="2" t="s">
        <v>140</v>
      </c>
      <c r="B13" s="5" t="s">
        <v>129</v>
      </c>
      <c r="C13" s="2" t="s">
        <v>141</v>
      </c>
      <c r="D13" s="2" t="s">
        <v>142</v>
      </c>
      <c r="E13" s="2" t="s">
        <v>20</v>
      </c>
      <c r="F13" s="2" t="s">
        <v>143</v>
      </c>
      <c r="G13" s="2" t="s">
        <v>37</v>
      </c>
      <c r="H13" s="2" t="s">
        <v>144</v>
      </c>
      <c r="I13" s="2" t="s">
        <v>145</v>
      </c>
      <c r="J13" s="2" t="s">
        <v>146</v>
      </c>
      <c r="K13" s="2" t="s">
        <v>147</v>
      </c>
      <c r="L13" s="2" t="s">
        <v>148</v>
      </c>
      <c r="M13" s="2" t="s">
        <v>28</v>
      </c>
      <c r="N13" s="2" t="s">
        <v>149</v>
      </c>
      <c r="O13" s="2" t="s">
        <v>98</v>
      </c>
      <c r="P13" s="4" t="s">
        <v>31</v>
      </c>
    </row>
    <row r="14" customFormat="false" ht="23.85" hidden="false" customHeight="false" outlineLevel="0" collapsed="false">
      <c r="A14" s="2" t="s">
        <v>150</v>
      </c>
      <c r="B14" s="5" t="s">
        <v>129</v>
      </c>
      <c r="C14" s="2" t="s">
        <v>151</v>
      </c>
      <c r="D14" s="2" t="s">
        <v>152</v>
      </c>
      <c r="E14" s="2" t="s">
        <v>35</v>
      </c>
      <c r="F14" s="2" t="s">
        <v>153</v>
      </c>
      <c r="G14" s="2" t="s">
        <v>37</v>
      </c>
      <c r="H14" s="2" t="s">
        <v>154</v>
      </c>
      <c r="I14" s="2" t="s">
        <v>155</v>
      </c>
      <c r="J14" s="2" t="s">
        <v>156</v>
      </c>
      <c r="K14" s="2" t="s">
        <v>157</v>
      </c>
      <c r="L14" s="2" t="s">
        <v>158</v>
      </c>
      <c r="M14" s="2" t="s">
        <v>86</v>
      </c>
      <c r="N14" s="2" t="s">
        <v>159</v>
      </c>
      <c r="O14" s="2" t="s">
        <v>30</v>
      </c>
      <c r="P14" s="4" t="s">
        <v>31</v>
      </c>
    </row>
    <row r="15" customFormat="false" ht="35.05" hidden="false" customHeight="false" outlineLevel="0" collapsed="false">
      <c r="A15" s="2" t="s">
        <v>160</v>
      </c>
      <c r="B15" s="5" t="s">
        <v>129</v>
      </c>
      <c r="C15" s="2" t="s">
        <v>161</v>
      </c>
      <c r="D15" s="2" t="s">
        <v>162</v>
      </c>
      <c r="E15" s="2" t="s">
        <v>35</v>
      </c>
      <c r="F15" s="2" t="s">
        <v>163</v>
      </c>
      <c r="G15" s="2" t="s">
        <v>22</v>
      </c>
      <c r="H15" s="2" t="s">
        <v>164</v>
      </c>
      <c r="I15" s="2" t="s">
        <v>165</v>
      </c>
      <c r="J15" s="2" t="s">
        <v>166</v>
      </c>
      <c r="K15" s="2" t="s">
        <v>167</v>
      </c>
      <c r="L15" s="2" t="s">
        <v>168</v>
      </c>
      <c r="M15" s="2" t="s">
        <v>28</v>
      </c>
      <c r="N15" s="2" t="s">
        <v>169</v>
      </c>
      <c r="O15" s="2" t="s">
        <v>30</v>
      </c>
      <c r="P15" s="4" t="s">
        <v>31</v>
      </c>
    </row>
    <row r="16" customFormat="false" ht="35.05" hidden="false" customHeight="false" outlineLevel="0" collapsed="false">
      <c r="A16" s="2" t="s">
        <v>170</v>
      </c>
      <c r="B16" s="5" t="s">
        <v>129</v>
      </c>
      <c r="C16" s="2" t="s">
        <v>171</v>
      </c>
      <c r="D16" s="2" t="s">
        <v>172</v>
      </c>
      <c r="E16" s="2" t="s">
        <v>79</v>
      </c>
      <c r="F16" s="2" t="s">
        <v>173</v>
      </c>
      <c r="G16" s="2" t="s">
        <v>37</v>
      </c>
      <c r="H16" s="2" t="s">
        <v>174</v>
      </c>
      <c r="I16" s="2" t="s">
        <v>175</v>
      </c>
      <c r="J16" s="2" t="s">
        <v>176</v>
      </c>
      <c r="K16" s="2" t="s">
        <v>177</v>
      </c>
      <c r="L16" s="2" t="s">
        <v>178</v>
      </c>
      <c r="M16" s="2" t="s">
        <v>28</v>
      </c>
      <c r="N16" s="2" t="s">
        <v>179</v>
      </c>
      <c r="O16" s="2" t="s">
        <v>30</v>
      </c>
      <c r="P16" s="4" t="s">
        <v>31</v>
      </c>
    </row>
    <row r="17" customFormat="false" ht="46.25" hidden="false" customHeight="false" outlineLevel="0" collapsed="false">
      <c r="A17" s="2" t="s">
        <v>180</v>
      </c>
      <c r="B17" s="6" t="s">
        <v>181</v>
      </c>
      <c r="C17" s="2" t="s">
        <v>182</v>
      </c>
      <c r="D17" s="2" t="s">
        <v>183</v>
      </c>
      <c r="E17" s="2" t="s">
        <v>35</v>
      </c>
      <c r="F17" s="2" t="s">
        <v>184</v>
      </c>
      <c r="G17" s="2" t="s">
        <v>37</v>
      </c>
      <c r="H17" s="2" t="s">
        <v>185</v>
      </c>
      <c r="I17" s="2" t="s">
        <v>186</v>
      </c>
      <c r="J17" s="2" t="s">
        <v>187</v>
      </c>
      <c r="K17" s="2" t="s">
        <v>188</v>
      </c>
      <c r="L17" s="2" t="s">
        <v>189</v>
      </c>
      <c r="M17" s="2" t="s">
        <v>28</v>
      </c>
      <c r="N17" s="2" t="s">
        <v>190</v>
      </c>
      <c r="O17" s="2" t="s">
        <v>191</v>
      </c>
      <c r="P17" s="4" t="s">
        <v>31</v>
      </c>
    </row>
    <row r="18" customFormat="false" ht="23.85" hidden="false" customHeight="false" outlineLevel="0" collapsed="false">
      <c r="A18" s="2" t="s">
        <v>192</v>
      </c>
      <c r="B18" s="6" t="s">
        <v>181</v>
      </c>
      <c r="C18" s="2" t="s">
        <v>193</v>
      </c>
      <c r="D18" s="2" t="s">
        <v>194</v>
      </c>
      <c r="E18" s="2" t="s">
        <v>35</v>
      </c>
      <c r="F18" s="2" t="s">
        <v>195</v>
      </c>
      <c r="G18" s="2" t="s">
        <v>37</v>
      </c>
      <c r="H18" s="2" t="s">
        <v>196</v>
      </c>
      <c r="I18" s="2" t="s">
        <v>197</v>
      </c>
      <c r="J18" s="2" t="s">
        <v>198</v>
      </c>
      <c r="K18" s="2" t="s">
        <v>199</v>
      </c>
      <c r="L18" s="2" t="s">
        <v>200</v>
      </c>
      <c r="M18" s="2" t="s">
        <v>28</v>
      </c>
      <c r="N18" s="2" t="s">
        <v>201</v>
      </c>
      <c r="O18" s="2" t="s">
        <v>30</v>
      </c>
      <c r="P18" s="4" t="s">
        <v>31</v>
      </c>
    </row>
    <row r="19" customFormat="false" ht="35.05" hidden="false" customHeight="false" outlineLevel="0" collapsed="false">
      <c r="A19" s="2" t="s">
        <v>202</v>
      </c>
      <c r="B19" s="6" t="s">
        <v>181</v>
      </c>
      <c r="C19" s="2" t="s">
        <v>203</v>
      </c>
      <c r="D19" s="2" t="s">
        <v>204</v>
      </c>
      <c r="E19" s="2" t="s">
        <v>68</v>
      </c>
      <c r="F19" s="2" t="s">
        <v>205</v>
      </c>
      <c r="G19" s="2" t="s">
        <v>37</v>
      </c>
      <c r="H19" s="2" t="s">
        <v>206</v>
      </c>
      <c r="I19" s="2" t="s">
        <v>207</v>
      </c>
      <c r="J19" s="2" t="s">
        <v>208</v>
      </c>
      <c r="K19" s="2" t="s">
        <v>209</v>
      </c>
      <c r="L19" s="2" t="s">
        <v>210</v>
      </c>
      <c r="M19" s="2" t="s">
        <v>28</v>
      </c>
      <c r="N19" s="2" t="s">
        <v>211</v>
      </c>
      <c r="O19" s="2" t="s">
        <v>191</v>
      </c>
      <c r="P19" s="4" t="s">
        <v>31</v>
      </c>
    </row>
    <row r="20" customFormat="false" ht="46.25" hidden="false" customHeight="false" outlineLevel="0" collapsed="false">
      <c r="A20" s="2" t="s">
        <v>212</v>
      </c>
      <c r="B20" s="6" t="s">
        <v>181</v>
      </c>
      <c r="C20" s="2" t="s">
        <v>213</v>
      </c>
      <c r="D20" s="2" t="s">
        <v>214</v>
      </c>
      <c r="E20" s="2" t="s">
        <v>68</v>
      </c>
      <c r="F20" s="2" t="s">
        <v>215</v>
      </c>
      <c r="G20" s="2" t="s">
        <v>22</v>
      </c>
      <c r="H20" s="2" t="s">
        <v>216</v>
      </c>
      <c r="I20" s="2" t="s">
        <v>217</v>
      </c>
      <c r="J20" s="2" t="s">
        <v>218</v>
      </c>
      <c r="K20" s="2" t="s">
        <v>219</v>
      </c>
      <c r="L20" s="2" t="s">
        <v>220</v>
      </c>
      <c r="M20" s="2" t="s">
        <v>28</v>
      </c>
      <c r="N20" s="2" t="s">
        <v>221</v>
      </c>
      <c r="O20" s="2" t="s">
        <v>98</v>
      </c>
      <c r="P20" s="4" t="s">
        <v>31</v>
      </c>
    </row>
    <row r="21" customFormat="false" ht="35.05" hidden="false" customHeight="false" outlineLevel="0" collapsed="false">
      <c r="A21" s="2" t="s">
        <v>222</v>
      </c>
      <c r="B21" s="6" t="s">
        <v>181</v>
      </c>
      <c r="C21" s="2" t="s">
        <v>223</v>
      </c>
      <c r="D21" s="2" t="s">
        <v>224</v>
      </c>
      <c r="E21" s="2" t="s">
        <v>79</v>
      </c>
      <c r="F21" s="2" t="s">
        <v>225</v>
      </c>
      <c r="G21" s="2" t="s">
        <v>37</v>
      </c>
      <c r="H21" s="2" t="s">
        <v>226</v>
      </c>
      <c r="I21" s="2" t="s">
        <v>227</v>
      </c>
      <c r="J21" s="2" t="s">
        <v>228</v>
      </c>
      <c r="K21" s="2" t="s">
        <v>229</v>
      </c>
      <c r="L21" s="2" t="s">
        <v>230</v>
      </c>
      <c r="M21" s="2" t="s">
        <v>86</v>
      </c>
      <c r="N21" s="2" t="s">
        <v>231</v>
      </c>
      <c r="O21" s="2" t="s">
        <v>30</v>
      </c>
      <c r="P21" s="4" t="s">
        <v>31</v>
      </c>
    </row>
    <row r="22" customFormat="false" ht="46.25" hidden="false" customHeight="false" outlineLevel="0" collapsed="false">
      <c r="A22" s="2" t="s">
        <v>232</v>
      </c>
      <c r="B22" s="6" t="s">
        <v>181</v>
      </c>
      <c r="C22" s="2" t="s">
        <v>233</v>
      </c>
      <c r="D22" s="2" t="s">
        <v>234</v>
      </c>
      <c r="E22" s="2" t="s">
        <v>79</v>
      </c>
      <c r="F22" s="2" t="s">
        <v>235</v>
      </c>
      <c r="G22" s="2" t="s">
        <v>22</v>
      </c>
      <c r="H22" s="2" t="s">
        <v>236</v>
      </c>
      <c r="I22" s="2" t="s">
        <v>237</v>
      </c>
      <c r="J22" s="2" t="s">
        <v>238</v>
      </c>
      <c r="K22" s="2" t="s">
        <v>239</v>
      </c>
      <c r="L22" s="2" t="s">
        <v>240</v>
      </c>
      <c r="M22" s="2" t="s">
        <v>28</v>
      </c>
      <c r="N22" s="2" t="s">
        <v>241</v>
      </c>
      <c r="O22" s="2" t="s">
        <v>98</v>
      </c>
      <c r="P22" s="4" t="s">
        <v>31</v>
      </c>
    </row>
    <row r="23" customFormat="false" ht="35.05" hidden="false" customHeight="false" outlineLevel="0" collapsed="false">
      <c r="A23" s="2" t="s">
        <v>242</v>
      </c>
      <c r="B23" s="6" t="s">
        <v>181</v>
      </c>
      <c r="C23" s="2" t="s">
        <v>243</v>
      </c>
      <c r="D23" s="2" t="s">
        <v>244</v>
      </c>
      <c r="E23" s="2" t="s">
        <v>79</v>
      </c>
      <c r="F23" s="2" t="s">
        <v>245</v>
      </c>
      <c r="G23" s="2" t="s">
        <v>37</v>
      </c>
      <c r="H23" s="2" t="s">
        <v>246</v>
      </c>
      <c r="I23" s="2" t="s">
        <v>247</v>
      </c>
      <c r="J23" s="2" t="s">
        <v>248</v>
      </c>
      <c r="K23" s="2" t="s">
        <v>249</v>
      </c>
      <c r="L23" s="2" t="s">
        <v>250</v>
      </c>
      <c r="M23" s="2" t="s">
        <v>28</v>
      </c>
      <c r="N23" s="2" t="s">
        <v>251</v>
      </c>
      <c r="O23" s="2" t="s">
        <v>30</v>
      </c>
      <c r="P23" s="4" t="s">
        <v>31</v>
      </c>
    </row>
    <row r="24" customFormat="false" ht="23.85" hidden="false" customHeight="false" outlineLevel="0" collapsed="false">
      <c r="A24" s="2" t="s">
        <v>252</v>
      </c>
      <c r="B24" s="6" t="s">
        <v>181</v>
      </c>
      <c r="C24" s="2" t="s">
        <v>253</v>
      </c>
      <c r="D24" s="2" t="s">
        <v>254</v>
      </c>
      <c r="E24" s="2" t="s">
        <v>79</v>
      </c>
      <c r="F24" s="2" t="s">
        <v>255</v>
      </c>
      <c r="G24" s="2" t="s">
        <v>37</v>
      </c>
      <c r="H24" s="2" t="s">
        <v>256</v>
      </c>
      <c r="I24" s="2" t="s">
        <v>257</v>
      </c>
      <c r="J24" s="2" t="s">
        <v>258</v>
      </c>
      <c r="K24" s="2" t="s">
        <v>259</v>
      </c>
      <c r="L24" s="2" t="s">
        <v>260</v>
      </c>
      <c r="M24" s="2" t="s">
        <v>28</v>
      </c>
      <c r="N24" s="2" t="s">
        <v>261</v>
      </c>
      <c r="O24" s="2" t="s">
        <v>30</v>
      </c>
      <c r="P24" s="4" t="s">
        <v>31</v>
      </c>
    </row>
    <row r="25" customFormat="false" ht="23.85" hidden="false" customHeight="false" outlineLevel="0" collapsed="false">
      <c r="A25" s="2" t="s">
        <v>262</v>
      </c>
      <c r="B25" s="6" t="s">
        <v>181</v>
      </c>
      <c r="C25" s="2" t="s">
        <v>263</v>
      </c>
      <c r="D25" s="2" t="s">
        <v>111</v>
      </c>
      <c r="E25" s="2" t="s">
        <v>79</v>
      </c>
      <c r="F25" s="2" t="s">
        <v>264</v>
      </c>
      <c r="G25" s="2" t="s">
        <v>22</v>
      </c>
      <c r="H25" s="2" t="s">
        <v>265</v>
      </c>
      <c r="I25" s="2" t="s">
        <v>266</v>
      </c>
      <c r="J25" s="2" t="s">
        <v>267</v>
      </c>
      <c r="K25" s="2" t="s">
        <v>268</v>
      </c>
      <c r="L25" s="2" t="s">
        <v>269</v>
      </c>
      <c r="M25" s="2" t="s">
        <v>28</v>
      </c>
      <c r="N25" s="2" t="s">
        <v>270</v>
      </c>
      <c r="O25" s="2" t="s">
        <v>30</v>
      </c>
      <c r="P25" s="4" t="s">
        <v>31</v>
      </c>
    </row>
    <row r="26" customFormat="false" ht="35.05" hidden="false" customHeight="false" outlineLevel="0" collapsed="false">
      <c r="A26" s="2" t="s">
        <v>271</v>
      </c>
      <c r="B26" s="7" t="s">
        <v>272</v>
      </c>
      <c r="C26" s="2" t="s">
        <v>273</v>
      </c>
      <c r="D26" s="2" t="s">
        <v>274</v>
      </c>
      <c r="E26" s="2" t="s">
        <v>20</v>
      </c>
      <c r="F26" s="2" t="s">
        <v>275</v>
      </c>
      <c r="G26" s="2" t="s">
        <v>37</v>
      </c>
      <c r="H26" s="2" t="s">
        <v>276</v>
      </c>
      <c r="I26" s="2" t="s">
        <v>277</v>
      </c>
      <c r="J26" s="2" t="s">
        <v>278</v>
      </c>
      <c r="K26" s="2" t="s">
        <v>279</v>
      </c>
      <c r="L26" s="2" t="s">
        <v>280</v>
      </c>
      <c r="M26" s="2" t="s">
        <v>281</v>
      </c>
      <c r="N26" s="2" t="s">
        <v>282</v>
      </c>
      <c r="O26" s="2" t="s">
        <v>191</v>
      </c>
      <c r="P26" s="4" t="s">
        <v>31</v>
      </c>
    </row>
    <row r="27" customFormat="false" ht="35.05" hidden="false" customHeight="false" outlineLevel="0" collapsed="false">
      <c r="A27" s="2" t="s">
        <v>283</v>
      </c>
      <c r="B27" s="7" t="s">
        <v>272</v>
      </c>
      <c r="C27" s="2" t="s">
        <v>284</v>
      </c>
      <c r="D27" s="2" t="s">
        <v>285</v>
      </c>
      <c r="E27" s="2" t="s">
        <v>35</v>
      </c>
      <c r="F27" s="2" t="s">
        <v>286</v>
      </c>
      <c r="G27" s="2" t="s">
        <v>37</v>
      </c>
      <c r="H27" s="2" t="s">
        <v>287</v>
      </c>
      <c r="I27" s="2" t="s">
        <v>288</v>
      </c>
      <c r="J27" s="2" t="s">
        <v>289</v>
      </c>
      <c r="K27" s="2" t="s">
        <v>290</v>
      </c>
      <c r="L27" s="2" t="s">
        <v>291</v>
      </c>
      <c r="M27" s="2" t="s">
        <v>281</v>
      </c>
      <c r="N27" s="2" t="s">
        <v>292</v>
      </c>
      <c r="O27" s="2" t="s">
        <v>98</v>
      </c>
      <c r="P27" s="4" t="s">
        <v>31</v>
      </c>
    </row>
    <row r="28" customFormat="false" ht="23.85" hidden="false" customHeight="false" outlineLevel="0" collapsed="false">
      <c r="A28" s="2" t="s">
        <v>293</v>
      </c>
      <c r="B28" s="7" t="s">
        <v>272</v>
      </c>
      <c r="C28" s="2" t="s">
        <v>294</v>
      </c>
      <c r="D28" s="2" t="s">
        <v>46</v>
      </c>
      <c r="E28" s="2" t="s">
        <v>68</v>
      </c>
      <c r="F28" s="2" t="s">
        <v>295</v>
      </c>
      <c r="G28" s="2" t="s">
        <v>37</v>
      </c>
      <c r="H28" s="2" t="s">
        <v>296</v>
      </c>
      <c r="I28" s="2" t="s">
        <v>297</v>
      </c>
      <c r="J28" s="2" t="s">
        <v>298</v>
      </c>
      <c r="K28" s="2" t="s">
        <v>299</v>
      </c>
      <c r="L28" s="2" t="s">
        <v>300</v>
      </c>
      <c r="M28" s="2" t="s">
        <v>28</v>
      </c>
      <c r="N28" s="2" t="s">
        <v>301</v>
      </c>
      <c r="O28" s="2" t="s">
        <v>98</v>
      </c>
      <c r="P28" s="4" t="s">
        <v>31</v>
      </c>
    </row>
    <row r="29" customFormat="false" ht="35.05" hidden="false" customHeight="false" outlineLevel="0" collapsed="false">
      <c r="A29" s="2" t="s">
        <v>302</v>
      </c>
      <c r="B29" s="7" t="s">
        <v>272</v>
      </c>
      <c r="C29" s="2" t="s">
        <v>303</v>
      </c>
      <c r="D29" s="2" t="s">
        <v>304</v>
      </c>
      <c r="E29" s="2" t="s">
        <v>68</v>
      </c>
      <c r="F29" s="2" t="s">
        <v>305</v>
      </c>
      <c r="G29" s="2" t="s">
        <v>37</v>
      </c>
      <c r="H29" s="2" t="s">
        <v>306</v>
      </c>
      <c r="I29" s="2" t="s">
        <v>307</v>
      </c>
      <c r="J29" s="2" t="s">
        <v>308</v>
      </c>
      <c r="K29" s="2" t="s">
        <v>309</v>
      </c>
      <c r="L29" s="2" t="s">
        <v>310</v>
      </c>
      <c r="M29" s="2" t="s">
        <v>86</v>
      </c>
      <c r="N29" s="2" t="s">
        <v>311</v>
      </c>
      <c r="O29" s="2" t="s">
        <v>191</v>
      </c>
      <c r="P29" s="4" t="s">
        <v>31</v>
      </c>
    </row>
    <row r="30" customFormat="false" ht="35.05" hidden="false" customHeight="false" outlineLevel="0" collapsed="false">
      <c r="A30" s="2" t="s">
        <v>312</v>
      </c>
      <c r="B30" s="7" t="s">
        <v>272</v>
      </c>
      <c r="C30" s="2" t="s">
        <v>313</v>
      </c>
      <c r="D30" s="2" t="s">
        <v>314</v>
      </c>
      <c r="E30" s="2" t="s">
        <v>68</v>
      </c>
      <c r="F30" s="2" t="s">
        <v>315</v>
      </c>
      <c r="G30" s="2" t="s">
        <v>37</v>
      </c>
      <c r="H30" s="2" t="s">
        <v>316</v>
      </c>
      <c r="I30" s="2" t="s">
        <v>317</v>
      </c>
      <c r="J30" s="2" t="s">
        <v>318</v>
      </c>
      <c r="K30" s="2" t="s">
        <v>319</v>
      </c>
      <c r="L30" s="2" t="s">
        <v>320</v>
      </c>
      <c r="M30" s="2" t="s">
        <v>86</v>
      </c>
      <c r="N30" s="2" t="s">
        <v>321</v>
      </c>
      <c r="O30" s="2" t="s">
        <v>98</v>
      </c>
      <c r="P30" s="4" t="s">
        <v>31</v>
      </c>
    </row>
    <row r="31" customFormat="false" ht="35.05" hidden="false" customHeight="false" outlineLevel="0" collapsed="false">
      <c r="A31" s="2" t="s">
        <v>322</v>
      </c>
      <c r="B31" s="7" t="s">
        <v>272</v>
      </c>
      <c r="C31" s="2" t="s">
        <v>323</v>
      </c>
      <c r="D31" s="2" t="s">
        <v>111</v>
      </c>
      <c r="E31" s="2" t="s">
        <v>79</v>
      </c>
      <c r="F31" s="2" t="s">
        <v>324</v>
      </c>
      <c r="G31" s="2" t="s">
        <v>22</v>
      </c>
      <c r="H31" s="2" t="s">
        <v>325</v>
      </c>
      <c r="I31" s="2" t="s">
        <v>326</v>
      </c>
      <c r="J31" s="2" t="s">
        <v>327</v>
      </c>
      <c r="K31" s="2" t="s">
        <v>328</v>
      </c>
      <c r="L31" s="2" t="s">
        <v>329</v>
      </c>
      <c r="M31" s="2" t="s">
        <v>53</v>
      </c>
      <c r="N31" s="2" t="s">
        <v>330</v>
      </c>
      <c r="O31" s="2" t="s">
        <v>98</v>
      </c>
      <c r="P31" s="4" t="s">
        <v>31</v>
      </c>
    </row>
    <row r="32" customFormat="false" ht="35.05" hidden="false" customHeight="false" outlineLevel="0" collapsed="false">
      <c r="A32" s="2" t="s">
        <v>331</v>
      </c>
      <c r="B32" s="7" t="s">
        <v>272</v>
      </c>
      <c r="C32" s="2" t="s">
        <v>332</v>
      </c>
      <c r="D32" s="2" t="s">
        <v>111</v>
      </c>
      <c r="E32" s="2" t="s">
        <v>79</v>
      </c>
      <c r="F32" s="2" t="s">
        <v>333</v>
      </c>
      <c r="G32" s="2" t="s">
        <v>22</v>
      </c>
      <c r="H32" s="2" t="s">
        <v>334</v>
      </c>
      <c r="I32" s="2" t="s">
        <v>335</v>
      </c>
      <c r="J32" s="2" t="s">
        <v>336</v>
      </c>
      <c r="K32" s="2" t="s">
        <v>337</v>
      </c>
      <c r="L32" s="2" t="s">
        <v>338</v>
      </c>
      <c r="M32" s="2" t="s">
        <v>28</v>
      </c>
      <c r="N32" s="2" t="s">
        <v>339</v>
      </c>
      <c r="O32" s="2" t="s">
        <v>98</v>
      </c>
      <c r="P32" s="4" t="s">
        <v>31</v>
      </c>
    </row>
    <row r="33" customFormat="false" ht="23.85" hidden="false" customHeight="false" outlineLevel="0" collapsed="false">
      <c r="A33" s="2" t="s">
        <v>340</v>
      </c>
      <c r="B33" s="7" t="s">
        <v>272</v>
      </c>
      <c r="C33" s="2" t="s">
        <v>341</v>
      </c>
      <c r="D33" s="2" t="s">
        <v>342</v>
      </c>
      <c r="E33" s="2" t="s">
        <v>35</v>
      </c>
      <c r="F33" s="2" t="s">
        <v>343</v>
      </c>
      <c r="G33" s="2" t="s">
        <v>37</v>
      </c>
      <c r="H33" s="2" t="s">
        <v>344</v>
      </c>
      <c r="I33" s="2" t="s">
        <v>345</v>
      </c>
      <c r="J33" s="2" t="s">
        <v>346</v>
      </c>
      <c r="K33" s="2" t="s">
        <v>347</v>
      </c>
      <c r="L33" s="2" t="s">
        <v>348</v>
      </c>
      <c r="M33" s="2" t="s">
        <v>53</v>
      </c>
      <c r="N33" s="2" t="s">
        <v>349</v>
      </c>
      <c r="O33" s="2" t="s">
        <v>191</v>
      </c>
      <c r="P33" s="4" t="s">
        <v>31</v>
      </c>
    </row>
    <row r="34" customFormat="false" ht="35.05" hidden="false" customHeight="false" outlineLevel="0" collapsed="false">
      <c r="A34" s="2" t="s">
        <v>350</v>
      </c>
      <c r="B34" s="8" t="s">
        <v>351</v>
      </c>
      <c r="C34" s="2" t="s">
        <v>352</v>
      </c>
      <c r="D34" s="2" t="s">
        <v>353</v>
      </c>
      <c r="E34" s="2" t="s">
        <v>20</v>
      </c>
      <c r="F34" s="2" t="s">
        <v>354</v>
      </c>
      <c r="G34" s="2" t="s">
        <v>37</v>
      </c>
      <c r="H34" s="2" t="s">
        <v>355</v>
      </c>
      <c r="I34" s="2" t="s">
        <v>356</v>
      </c>
      <c r="J34" s="2" t="s">
        <v>357</v>
      </c>
      <c r="K34" s="2" t="s">
        <v>358</v>
      </c>
      <c r="L34" s="2" t="s">
        <v>359</v>
      </c>
      <c r="M34" s="2" t="s">
        <v>86</v>
      </c>
      <c r="N34" s="2" t="s">
        <v>360</v>
      </c>
      <c r="O34" s="2" t="s">
        <v>30</v>
      </c>
      <c r="P34" s="4" t="s">
        <v>31</v>
      </c>
    </row>
    <row r="35" customFormat="false" ht="35.05" hidden="false" customHeight="false" outlineLevel="0" collapsed="false">
      <c r="A35" s="2" t="s">
        <v>361</v>
      </c>
      <c r="B35" s="8" t="s">
        <v>351</v>
      </c>
      <c r="C35" s="2" t="s">
        <v>362</v>
      </c>
      <c r="D35" s="2" t="s">
        <v>363</v>
      </c>
      <c r="E35" s="2" t="s">
        <v>35</v>
      </c>
      <c r="F35" s="2" t="s">
        <v>364</v>
      </c>
      <c r="G35" s="2" t="s">
        <v>37</v>
      </c>
      <c r="H35" s="2" t="s">
        <v>365</v>
      </c>
      <c r="I35" s="2" t="s">
        <v>366</v>
      </c>
      <c r="J35" s="2" t="s">
        <v>367</v>
      </c>
      <c r="K35" s="2" t="s">
        <v>368</v>
      </c>
      <c r="L35" s="2" t="s">
        <v>369</v>
      </c>
      <c r="M35" s="2" t="s">
        <v>86</v>
      </c>
      <c r="N35" s="2" t="s">
        <v>370</v>
      </c>
      <c r="O35" s="2" t="s">
        <v>30</v>
      </c>
      <c r="P35" s="4" t="s">
        <v>31</v>
      </c>
    </row>
    <row r="36" customFormat="false" ht="35.05" hidden="false" customHeight="false" outlineLevel="0" collapsed="false">
      <c r="A36" s="2" t="s">
        <v>371</v>
      </c>
      <c r="B36" s="8" t="s">
        <v>351</v>
      </c>
      <c r="C36" s="2" t="s">
        <v>372</v>
      </c>
      <c r="D36" s="2" t="s">
        <v>373</v>
      </c>
      <c r="E36" s="2" t="s">
        <v>35</v>
      </c>
      <c r="F36" s="2" t="s">
        <v>374</v>
      </c>
      <c r="G36" s="2" t="s">
        <v>37</v>
      </c>
      <c r="H36" s="2" t="s">
        <v>375</v>
      </c>
      <c r="I36" s="2" t="s">
        <v>376</v>
      </c>
      <c r="J36" s="2" t="s">
        <v>377</v>
      </c>
      <c r="K36" s="2" t="s">
        <v>378</v>
      </c>
      <c r="L36" s="2" t="s">
        <v>379</v>
      </c>
      <c r="M36" s="2" t="s">
        <v>53</v>
      </c>
      <c r="N36" s="2" t="s">
        <v>380</v>
      </c>
      <c r="O36" s="2" t="s">
        <v>30</v>
      </c>
      <c r="P36" s="4" t="s">
        <v>31</v>
      </c>
    </row>
    <row r="37" customFormat="false" ht="35.05" hidden="false" customHeight="false" outlineLevel="0" collapsed="false">
      <c r="A37" s="2" t="s">
        <v>381</v>
      </c>
      <c r="B37" s="9" t="s">
        <v>382</v>
      </c>
      <c r="C37" s="2" t="s">
        <v>383</v>
      </c>
      <c r="D37" s="2" t="s">
        <v>78</v>
      </c>
      <c r="E37" s="2" t="s">
        <v>35</v>
      </c>
      <c r="F37" s="2" t="s">
        <v>384</v>
      </c>
      <c r="G37" s="2" t="s">
        <v>37</v>
      </c>
      <c r="H37" s="2" t="s">
        <v>385</v>
      </c>
      <c r="I37" s="2" t="s">
        <v>386</v>
      </c>
      <c r="J37" s="2" t="s">
        <v>387</v>
      </c>
      <c r="K37" s="2" t="s">
        <v>388</v>
      </c>
      <c r="L37" s="2" t="s">
        <v>389</v>
      </c>
      <c r="M37" s="2" t="s">
        <v>28</v>
      </c>
      <c r="N37" s="2" t="s">
        <v>390</v>
      </c>
      <c r="O37" s="2" t="s">
        <v>30</v>
      </c>
      <c r="P37" s="4" t="s">
        <v>31</v>
      </c>
    </row>
    <row r="38" customFormat="false" ht="23.85" hidden="false" customHeight="false" outlineLevel="0" collapsed="false">
      <c r="A38" s="2" t="s">
        <v>391</v>
      </c>
      <c r="B38" s="9" t="s">
        <v>382</v>
      </c>
      <c r="C38" s="2" t="s">
        <v>392</v>
      </c>
      <c r="D38" s="2" t="s">
        <v>111</v>
      </c>
      <c r="E38" s="2" t="s">
        <v>79</v>
      </c>
      <c r="F38" s="2" t="s">
        <v>393</v>
      </c>
      <c r="G38" s="2" t="s">
        <v>22</v>
      </c>
      <c r="H38" s="2" t="s">
        <v>394</v>
      </c>
      <c r="I38" s="2" t="s">
        <v>395</v>
      </c>
      <c r="J38" s="2" t="s">
        <v>396</v>
      </c>
      <c r="K38" s="2" t="s">
        <v>397</v>
      </c>
      <c r="L38" s="2" t="s">
        <v>398</v>
      </c>
      <c r="M38" s="2" t="s">
        <v>28</v>
      </c>
      <c r="N38" s="2" t="s">
        <v>399</v>
      </c>
      <c r="O38" s="2" t="s">
        <v>98</v>
      </c>
      <c r="P38" s="4" t="s">
        <v>31</v>
      </c>
    </row>
  </sheetData>
  <autoFilter ref="A1:P38"/>
  <dataValidations count="2">
    <dataValidation allowBlank="true" errorStyle="stop" operator="between" showDropDown="false" showErrorMessage="false" showInputMessage="false" sqref="M2:M237" type="list">
      <formula1>"Yes,Partial,No,n/a"</formula1>
      <formula2>0</formula2>
    </dataValidation>
    <dataValidation allowBlank="true" errorStyle="stop" operator="between" showDropDown="false" showErrorMessage="false" showInputMessage="false" sqref="G2:G237" type="list">
      <formula1>"Peer-reviewed,Preprint"</formula1>
      <formula2>0</formula2>
    </dataValidation>
  </dataValidations>
  <hyperlinks>
    <hyperlink ref="P2" r:id="rId1" display="Open"/>
    <hyperlink ref="P3" r:id="rId2" display="Open"/>
    <hyperlink ref="P4" r:id="rId3" display="Open"/>
    <hyperlink ref="P5" r:id="rId4" display="Open"/>
    <hyperlink ref="P6" r:id="rId5" display="Open"/>
    <hyperlink ref="P7" r:id="rId6" display="Open"/>
    <hyperlink ref="P8" r:id="rId7" display="Open"/>
    <hyperlink ref="P9" r:id="rId8" display="Open"/>
    <hyperlink ref="P10" r:id="rId9" display="Open"/>
    <hyperlink ref="P11" r:id="rId10" display="Open"/>
    <hyperlink ref="P12" r:id="rId11" display="Open"/>
    <hyperlink ref="P13" r:id="rId12" display="Open"/>
    <hyperlink ref="P14" r:id="rId13" display="Open"/>
    <hyperlink ref="P15" r:id="rId14" display="Open"/>
    <hyperlink ref="P16" r:id="rId15" display="Open"/>
    <hyperlink ref="P17" r:id="rId16" display="Open"/>
    <hyperlink ref="P18" r:id="rId17" display="Open"/>
    <hyperlink ref="P19" r:id="rId18" display="Open"/>
    <hyperlink ref="P20" r:id="rId19" display="Open"/>
    <hyperlink ref="P21" r:id="rId20" display="Open"/>
    <hyperlink ref="P22" r:id="rId21" display="Open"/>
    <hyperlink ref="P23" r:id="rId22" display="Open"/>
    <hyperlink ref="P24" r:id="rId23" display="Open"/>
    <hyperlink ref="P25" r:id="rId24" display="Open"/>
    <hyperlink ref="P26" r:id="rId25" display="Open"/>
    <hyperlink ref="P27" r:id="rId26" display="Open"/>
    <hyperlink ref="P28" r:id="rId27" display="Open"/>
    <hyperlink ref="P29" r:id="rId28" display="Open"/>
    <hyperlink ref="P30" r:id="rId29" display="Open"/>
    <hyperlink ref="P31" r:id="rId30" display="Open"/>
    <hyperlink ref="P32" r:id="rId31" display="Open"/>
    <hyperlink ref="P33" r:id="rId32" display="Open"/>
    <hyperlink ref="P34" r:id="rId33" display="Open"/>
    <hyperlink ref="P35" r:id="rId34" display="Open"/>
    <hyperlink ref="P36" r:id="rId35" display="Open"/>
    <hyperlink ref="P37" r:id="rId36" display="Open"/>
    <hyperlink ref="P38" r:id="rId37"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80"/>
    <col collapsed="false" customWidth="true" hidden="false" outlineLevel="0" max="4" min="4" style="0" width="26"/>
    <col collapsed="false" customWidth="true" hidden="false" outlineLevel="0" max="5" min="5" style="0" width="22"/>
  </cols>
  <sheetData>
    <row r="1" customFormat="false" ht="31.5" hidden="false" customHeight="true" outlineLevel="0" collapsed="false">
      <c r="A1" s="1" t="s">
        <v>400</v>
      </c>
      <c r="B1" s="1" t="s">
        <v>401</v>
      </c>
      <c r="C1" s="1" t="s">
        <v>402</v>
      </c>
      <c r="D1" s="1" t="s">
        <v>403</v>
      </c>
      <c r="E1" s="1" t="s">
        <v>404</v>
      </c>
    </row>
    <row r="2" customFormat="false" ht="35.05" hidden="false" customHeight="false" outlineLevel="0" collapsed="false">
      <c r="A2" s="2" t="s">
        <v>405</v>
      </c>
      <c r="B2" s="2" t="s">
        <v>406</v>
      </c>
      <c r="C2" s="2" t="s">
        <v>407</v>
      </c>
      <c r="D2" s="2" t="s">
        <v>408</v>
      </c>
      <c r="E2" s="6" t="s">
        <v>409</v>
      </c>
    </row>
    <row r="3" customFormat="false" ht="35.05" hidden="false" customHeight="false" outlineLevel="0" collapsed="false">
      <c r="A3" s="2" t="s">
        <v>410</v>
      </c>
      <c r="B3" s="2" t="s">
        <v>411</v>
      </c>
      <c r="C3" s="2" t="s">
        <v>412</v>
      </c>
      <c r="D3" s="2" t="s">
        <v>413</v>
      </c>
      <c r="E3" s="6" t="s">
        <v>409</v>
      </c>
    </row>
    <row r="4" customFormat="false" ht="35.05" hidden="false" customHeight="false" outlineLevel="0" collapsed="false">
      <c r="A4" s="2" t="s">
        <v>414</v>
      </c>
      <c r="B4" s="2" t="s">
        <v>415</v>
      </c>
      <c r="C4" s="2" t="s">
        <v>416</v>
      </c>
      <c r="D4" s="2" t="s">
        <v>417</v>
      </c>
      <c r="E4" s="6" t="s">
        <v>409</v>
      </c>
    </row>
    <row r="5" customFormat="false" ht="23.85" hidden="false" customHeight="false" outlineLevel="0" collapsed="false">
      <c r="A5" s="2" t="s">
        <v>418</v>
      </c>
      <c r="B5" s="2" t="s">
        <v>419</v>
      </c>
      <c r="C5" s="2" t="s">
        <v>420</v>
      </c>
      <c r="D5" s="2" t="s">
        <v>421</v>
      </c>
      <c r="E5" s="2" t="s">
        <v>422</v>
      </c>
    </row>
    <row r="6" customFormat="false" ht="23.85" hidden="false" customHeight="false" outlineLevel="0" collapsed="false">
      <c r="A6" s="2" t="s">
        <v>423</v>
      </c>
      <c r="B6" s="2" t="s">
        <v>424</v>
      </c>
      <c r="C6" s="2" t="s">
        <v>425</v>
      </c>
      <c r="D6" s="2" t="s">
        <v>426</v>
      </c>
      <c r="E6" s="2" t="s">
        <v>427</v>
      </c>
    </row>
    <row r="7" customFormat="false" ht="23.85" hidden="false" customHeight="false" outlineLevel="0" collapsed="false">
      <c r="A7" s="2" t="s">
        <v>428</v>
      </c>
      <c r="B7" s="2" t="s">
        <v>429</v>
      </c>
      <c r="C7" s="2" t="s">
        <v>430</v>
      </c>
      <c r="D7" s="2" t="s">
        <v>431</v>
      </c>
      <c r="E7" s="2" t="s">
        <v>427</v>
      </c>
    </row>
    <row r="9" customFormat="false" ht="15" hidden="false" customHeight="false" outlineLevel="0" collapsed="false">
      <c r="A9" s="10" t="s">
        <v>432</v>
      </c>
    </row>
    <row r="10" customFormat="false" ht="75" hidden="false" customHeight="true" outlineLevel="0" collapsed="false">
      <c r="A10" s="11" t="s">
        <v>433</v>
      </c>
      <c r="B10" s="11"/>
      <c r="C10" s="11"/>
      <c r="D10" s="11"/>
      <c r="E10" s="11"/>
    </row>
    <row r="12" customFormat="false" ht="15" hidden="false" customHeight="false" outlineLevel="0" collapsed="false">
      <c r="A12" s="10" t="s">
        <v>434</v>
      </c>
    </row>
    <row r="13" customFormat="false" ht="39.75" hidden="false" customHeight="true" outlineLevel="0" collapsed="false">
      <c r="A13" s="11" t="s">
        <v>435</v>
      </c>
      <c r="B13" s="11"/>
      <c r="C13" s="11"/>
      <c r="D13" s="11"/>
      <c r="E13" s="11"/>
    </row>
  </sheetData>
  <mergeCells count="2">
    <mergeCell ref="A10:E10"/>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9"/>
    <col collapsed="false" customWidth="true" hidden="false" outlineLevel="0" max="3" min="3" style="0" width="13"/>
    <col collapsed="false" customWidth="true" hidden="false" outlineLevel="0" max="5" min="4" style="0" width="11"/>
    <col collapsed="false" customWidth="true" hidden="false" outlineLevel="0" max="6" min="6" style="0" width="13"/>
    <col collapsed="false" customWidth="true" hidden="false" outlineLevel="0" max="7" min="7" style="0" width="11"/>
    <col collapsed="false" customWidth="true" hidden="false" outlineLevel="0" max="8" min="8" style="0" width="18"/>
  </cols>
  <sheetData>
    <row r="1" customFormat="false" ht="31.5" hidden="false" customHeight="true" outlineLevel="0" collapsed="false">
      <c r="A1" s="1" t="s">
        <v>1</v>
      </c>
      <c r="B1" s="1" t="s">
        <v>436</v>
      </c>
      <c r="C1" s="1" t="s">
        <v>37</v>
      </c>
      <c r="D1" s="1" t="s">
        <v>437</v>
      </c>
      <c r="E1" s="1" t="s">
        <v>438</v>
      </c>
      <c r="F1" s="1" t="s">
        <v>439</v>
      </c>
      <c r="G1" s="1" t="s">
        <v>440</v>
      </c>
      <c r="H1" s="1" t="s">
        <v>441</v>
      </c>
    </row>
    <row r="2" customFormat="false" ht="15" hidden="false" customHeight="false" outlineLevel="0" collapsed="false">
      <c r="A2" s="12" t="s">
        <v>17</v>
      </c>
      <c r="B2" s="12" t="n">
        <f aca="false">COUNTIF('Literature Matrix'!$B$2:$B$38,A2)</f>
        <v>10</v>
      </c>
      <c r="C2" s="12" t="n">
        <f aca="false">COUNTIFS('Literature Matrix'!$B$2:$B$38,A2,'Literature Matrix'!$G$2:$G$38,"Peer-reviewed")</f>
        <v>5</v>
      </c>
      <c r="D2" s="12" t="n">
        <f aca="false">COUNTIFS('Literature Matrix'!$B$2:$B$38,A2,'Literature Matrix'!$G$2:$G$38,"Preprint")</f>
        <v>5</v>
      </c>
      <c r="E2" s="12" t="n">
        <f aca="false">COUNTIFS('Literature Matrix'!$B$2:$B$38,A2,'Literature Matrix'!$M$2:$M$38,"Yes")</f>
        <v>1</v>
      </c>
      <c r="F2" s="12" t="n">
        <f aca="false">COUNTIFS('Literature Matrix'!$B$2:$B$38,A2,'Literature Matrix'!$M$2:$M$38,"Partial")</f>
        <v>3</v>
      </c>
      <c r="G2" s="12" t="n">
        <f aca="false">COUNTIFS('Literature Matrix'!$B$2:$B$38,A2,'Literature Matrix'!$M$2:$M$38,"No")</f>
        <v>6</v>
      </c>
      <c r="H2" s="13" t="n">
        <f aca="false">IF(B2=0,0,E2/B2)</f>
        <v>0.1</v>
      </c>
    </row>
    <row r="3" customFormat="false" ht="15" hidden="false" customHeight="false" outlineLevel="0" collapsed="false">
      <c r="A3" s="12" t="s">
        <v>129</v>
      </c>
      <c r="B3" s="12" t="n">
        <f aca="false">COUNTIF('Literature Matrix'!$B$2:$B$38,A3)</f>
        <v>5</v>
      </c>
      <c r="C3" s="12" t="n">
        <f aca="false">COUNTIFS('Literature Matrix'!$B$2:$B$38,A3,'Literature Matrix'!$G$2:$G$38,"Peer-reviewed")</f>
        <v>4</v>
      </c>
      <c r="D3" s="12" t="n">
        <f aca="false">COUNTIFS('Literature Matrix'!$B$2:$B$38,A3,'Literature Matrix'!$G$2:$G$38,"Preprint")</f>
        <v>1</v>
      </c>
      <c r="E3" s="12" t="n">
        <f aca="false">COUNTIFS('Literature Matrix'!$B$2:$B$38,A3,'Literature Matrix'!$M$2:$M$38,"Yes")</f>
        <v>1</v>
      </c>
      <c r="F3" s="12" t="n">
        <f aca="false">COUNTIFS('Literature Matrix'!$B$2:$B$38,A3,'Literature Matrix'!$M$2:$M$38,"Partial")</f>
        <v>0</v>
      </c>
      <c r="G3" s="12" t="n">
        <f aca="false">COUNTIFS('Literature Matrix'!$B$2:$B$38,A3,'Literature Matrix'!$M$2:$M$38,"No")</f>
        <v>4</v>
      </c>
      <c r="H3" s="13" t="n">
        <f aca="false">IF(B3=0,0,E3/B3)</f>
        <v>0.2</v>
      </c>
    </row>
    <row r="4" customFormat="false" ht="15" hidden="false" customHeight="false" outlineLevel="0" collapsed="false">
      <c r="A4" s="12" t="s">
        <v>181</v>
      </c>
      <c r="B4" s="12" t="n">
        <f aca="false">COUNTIF('Literature Matrix'!$B$2:$B$38,A4)</f>
        <v>9</v>
      </c>
      <c r="C4" s="12" t="n">
        <f aca="false">COUNTIFS('Literature Matrix'!$B$2:$B$38,A4,'Literature Matrix'!$G$2:$G$38,"Peer-reviewed")</f>
        <v>6</v>
      </c>
      <c r="D4" s="12" t="n">
        <f aca="false">COUNTIFS('Literature Matrix'!$B$2:$B$38,A4,'Literature Matrix'!$G$2:$G$38,"Preprint")</f>
        <v>3</v>
      </c>
      <c r="E4" s="12" t="n">
        <f aca="false">COUNTIFS('Literature Matrix'!$B$2:$B$38,A4,'Literature Matrix'!$M$2:$M$38,"Yes")</f>
        <v>1</v>
      </c>
      <c r="F4" s="12" t="n">
        <f aca="false">COUNTIFS('Literature Matrix'!$B$2:$B$38,A4,'Literature Matrix'!$M$2:$M$38,"Partial")</f>
        <v>0</v>
      </c>
      <c r="G4" s="12" t="n">
        <f aca="false">COUNTIFS('Literature Matrix'!$B$2:$B$38,A4,'Literature Matrix'!$M$2:$M$38,"No")</f>
        <v>8</v>
      </c>
      <c r="H4" s="13" t="n">
        <f aca="false">IF(B4=0,0,E4/B4)</f>
        <v>0.111111111111111</v>
      </c>
    </row>
    <row r="5" customFormat="false" ht="15" hidden="false" customHeight="false" outlineLevel="0" collapsed="false">
      <c r="A5" s="12" t="s">
        <v>272</v>
      </c>
      <c r="B5" s="12" t="n">
        <f aca="false">COUNTIF('Literature Matrix'!$B$2:$B$38,A5)</f>
        <v>8</v>
      </c>
      <c r="C5" s="12" t="n">
        <f aca="false">COUNTIFS('Literature Matrix'!$B$2:$B$38,A5,'Literature Matrix'!$G$2:$G$38,"Peer-reviewed")</f>
        <v>6</v>
      </c>
      <c r="D5" s="12" t="n">
        <f aca="false">COUNTIFS('Literature Matrix'!$B$2:$B$38,A5,'Literature Matrix'!$G$2:$G$38,"Preprint")</f>
        <v>2</v>
      </c>
      <c r="E5" s="12" t="n">
        <f aca="false">COUNTIFS('Literature Matrix'!$B$2:$B$38,A5,'Literature Matrix'!$M$2:$M$38,"Yes")</f>
        <v>2</v>
      </c>
      <c r="F5" s="12" t="n">
        <f aca="false">COUNTIFS('Literature Matrix'!$B$2:$B$38,A5,'Literature Matrix'!$M$2:$M$38,"Partial")</f>
        <v>2</v>
      </c>
      <c r="G5" s="12" t="n">
        <f aca="false">COUNTIFS('Literature Matrix'!$B$2:$B$38,A5,'Literature Matrix'!$M$2:$M$38,"No")</f>
        <v>2</v>
      </c>
      <c r="H5" s="13" t="n">
        <f aca="false">IF(B5=0,0,E5/B5)</f>
        <v>0.25</v>
      </c>
    </row>
    <row r="6" customFormat="false" ht="15" hidden="false" customHeight="false" outlineLevel="0" collapsed="false">
      <c r="A6" s="12" t="s">
        <v>351</v>
      </c>
      <c r="B6" s="12" t="n">
        <f aca="false">COUNTIF('Literature Matrix'!$B$2:$B$38,A6)</f>
        <v>3</v>
      </c>
      <c r="C6" s="12" t="n">
        <f aca="false">COUNTIFS('Literature Matrix'!$B$2:$B$38,A6,'Literature Matrix'!$G$2:$G$38,"Peer-reviewed")</f>
        <v>3</v>
      </c>
      <c r="D6" s="12" t="n">
        <f aca="false">COUNTIFS('Literature Matrix'!$B$2:$B$38,A6,'Literature Matrix'!$G$2:$G$38,"Preprint")</f>
        <v>0</v>
      </c>
      <c r="E6" s="12" t="n">
        <f aca="false">COUNTIFS('Literature Matrix'!$B$2:$B$38,A6,'Literature Matrix'!$M$2:$M$38,"Yes")</f>
        <v>2</v>
      </c>
      <c r="F6" s="12" t="n">
        <f aca="false">COUNTIFS('Literature Matrix'!$B$2:$B$38,A6,'Literature Matrix'!$M$2:$M$38,"Partial")</f>
        <v>1</v>
      </c>
      <c r="G6" s="12" t="n">
        <f aca="false">COUNTIFS('Literature Matrix'!$B$2:$B$38,A6,'Literature Matrix'!$M$2:$M$38,"No")</f>
        <v>0</v>
      </c>
      <c r="H6" s="13" t="n">
        <f aca="false">IF(B6=0,0,E6/B6)</f>
        <v>0.666666666666667</v>
      </c>
    </row>
    <row r="7" customFormat="false" ht="15" hidden="false" customHeight="false" outlineLevel="0" collapsed="false">
      <c r="A7" s="12" t="s">
        <v>382</v>
      </c>
      <c r="B7" s="12" t="n">
        <f aca="false">COUNTIF('Literature Matrix'!$B$2:$B$38,A7)</f>
        <v>2</v>
      </c>
      <c r="C7" s="12" t="n">
        <f aca="false">COUNTIFS('Literature Matrix'!$B$2:$B$38,A7,'Literature Matrix'!$G$2:$G$38,"Peer-reviewed")</f>
        <v>1</v>
      </c>
      <c r="D7" s="12" t="n">
        <f aca="false">COUNTIFS('Literature Matrix'!$B$2:$B$38,A7,'Literature Matrix'!$G$2:$G$38,"Preprint")</f>
        <v>1</v>
      </c>
      <c r="E7" s="12" t="n">
        <f aca="false">COUNTIFS('Literature Matrix'!$B$2:$B$38,A7,'Literature Matrix'!$M$2:$M$38,"Yes")</f>
        <v>0</v>
      </c>
      <c r="F7" s="12" t="n">
        <f aca="false">COUNTIFS('Literature Matrix'!$B$2:$B$38,A7,'Literature Matrix'!$M$2:$M$38,"Partial")</f>
        <v>0</v>
      </c>
      <c r="G7" s="12" t="n">
        <f aca="false">COUNTIFS('Literature Matrix'!$B$2:$B$38,A7,'Literature Matrix'!$M$2:$M$38,"No")</f>
        <v>2</v>
      </c>
      <c r="H7" s="13" t="n">
        <f aca="false">IF(B7=0,0,E7/B7)</f>
        <v>0</v>
      </c>
    </row>
    <row r="8" customFormat="false" ht="15" hidden="false" customHeight="false" outlineLevel="0" collapsed="false">
      <c r="A8" s="14" t="s">
        <v>442</v>
      </c>
      <c r="B8" s="14" t="n">
        <f aca="false">SUM(B2:B7)</f>
        <v>37</v>
      </c>
      <c r="C8" s="14" t="n">
        <f aca="false">SUM(C2:C7)</f>
        <v>25</v>
      </c>
      <c r="D8" s="14" t="n">
        <f aca="false">SUM(D2:D7)</f>
        <v>12</v>
      </c>
      <c r="E8" s="14" t="n">
        <f aca="false">SUM(E2:E7)</f>
        <v>7</v>
      </c>
      <c r="F8" s="14" t="n">
        <f aca="false">SUM(F2:F7)</f>
        <v>6</v>
      </c>
      <c r="G8" s="14" t="n">
        <f aca="false">SUM(G2:G7)</f>
        <v>22</v>
      </c>
      <c r="H8" s="15" t="n">
        <f aca="false">IF(B8=0,0,E8/B8)</f>
        <v>0.189189189189189</v>
      </c>
    </row>
    <row r="10" customFormat="false" ht="15" hidden="false" customHeight="false" outlineLevel="0" collapsed="false">
      <c r="A10" s="16" t="s">
        <v>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17" t="s">
        <v>444</v>
      </c>
      <c r="B1" s="17" t="s">
        <v>445</v>
      </c>
    </row>
    <row r="2" customFormat="false" ht="15" hidden="false" customHeight="false" outlineLevel="0" collapsed="false">
      <c r="A2" s="18" t="s">
        <v>446</v>
      </c>
      <c r="B2" s="2" t="s">
        <v>447</v>
      </c>
    </row>
    <row r="3" customFormat="false" ht="23.85" hidden="false" customHeight="false" outlineLevel="0" collapsed="false">
      <c r="A3" s="18" t="s">
        <v>448</v>
      </c>
      <c r="B3" s="2" t="s">
        <v>449</v>
      </c>
    </row>
    <row r="4" customFormat="false" ht="15" hidden="false" customHeight="false" outlineLevel="0" collapsed="false">
      <c r="A4" s="18" t="s">
        <v>450</v>
      </c>
      <c r="B4" s="2" t="s">
        <v>451</v>
      </c>
    </row>
    <row r="5" customFormat="false" ht="23.85" hidden="false" customHeight="false" outlineLevel="0" collapsed="false">
      <c r="A5" s="18" t="s">
        <v>452</v>
      </c>
      <c r="B5" s="2" t="s">
        <v>453</v>
      </c>
    </row>
    <row r="6" customFormat="false" ht="23.85" hidden="false" customHeight="false" outlineLevel="0" collapsed="false">
      <c r="A6" s="18" t="s">
        <v>454</v>
      </c>
      <c r="B6" s="2" t="s">
        <v>455</v>
      </c>
    </row>
    <row r="7" customFormat="false" ht="23.85" hidden="false" customHeight="false" outlineLevel="0" collapsed="false">
      <c r="A7" s="18" t="s">
        <v>456</v>
      </c>
      <c r="B7" s="2" t="s">
        <v>457</v>
      </c>
    </row>
    <row r="8" customFormat="false" ht="15" hidden="false" customHeight="false" outlineLevel="0" collapsed="false">
      <c r="A8" s="18" t="s">
        <v>458</v>
      </c>
      <c r="B8" s="2" t="s">
        <v>459</v>
      </c>
    </row>
    <row r="9" customFormat="false" ht="23.85" hidden="false" customHeight="false" outlineLevel="0" collapsed="false">
      <c r="A9" s="18" t="s">
        <v>460</v>
      </c>
      <c r="B9" s="2" t="s">
        <v>461</v>
      </c>
    </row>
    <row r="10" customFormat="false" ht="23.85" hidden="false" customHeight="false" outlineLevel="0" collapsed="false">
      <c r="A10" s="18" t="s">
        <v>462</v>
      </c>
      <c r="B10" s="2" t="s">
        <v>463</v>
      </c>
    </row>
    <row r="11" customFormat="false" ht="23.85" hidden="false" customHeight="false" outlineLevel="0" collapsed="false">
      <c r="A11" s="18" t="s">
        <v>464</v>
      </c>
      <c r="B11" s="2" t="s">
        <v>465</v>
      </c>
    </row>
    <row r="12" customFormat="false" ht="23.85" hidden="false" customHeight="false" outlineLevel="0" collapsed="false">
      <c r="A12" s="18" t="s">
        <v>466</v>
      </c>
      <c r="B12" s="2"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2026-10-03T08:08:02Z</dcterms:created>
  <dc:creator>openpyxl</dc:creator>
  <dc:description/>
  <dc:language>en-US</dc:language>
  <cp:lastModifiedBy/>
  <dcterms:modified xsi:type="dcterms:W3CDTF">2026-10-03T08:08:02Z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